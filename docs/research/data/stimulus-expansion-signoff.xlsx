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andidates" sheetId="2" state="visible" r:id="rId4"/>
    <sheet name="Pairs" sheetId="3" state="visible" r:id="rId5"/>
    <sheet name="ConventionFronti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<sst xmlns="http://schemas.openxmlformats.org/spreadsheetml/2006/main" count="652" uniqueCount="381">
  <si>
    <t xml:space="preserve">Stimulus Expansion — Sign-off Workbook (NIL-53 / F1)</t>
  </si>
  <si>
    <t xml:space="preserve">Generated 2026-07-01 by Fable 5. Every gloss and pair is a PROPOSAL requiring human sign-off (Nils). Invariant 4: core-task pairs are real contrastive same-modality ideophones.</t>
  </si>
  <si>
    <t xml:space="preserve">Provenance: NINJAL LWP for BCCWJ top-600 (frequency, script share) + Iida &amp; Akita 2023 perceptual strength norms (modality, strength, iconicity). Join key: Hepburn romaji; final sokuon = "q".</t>
  </si>
  <si>
    <t xml:space="preserve">Pools: A = in both top600 and norms (full covariates). B = norms only (script frequency needs SketchEngine/jpTenTen lookup).</t>
  </si>
  <si>
    <t xml:space="preserve">Scoring: 0.40·z(max perceptual strength) + 0.30·z(log10 freq) + 0.20·modality-scarcity (aud 1.0 &gt; haptic 0.8 &gt; int 0.4 &gt; vis 0.2 &gt; gust 0.1, ×2) + 0.10·pool-A completeness.</t>
  </si>
  <si>
    <t xml:space="preserve">Pairs proposed</t>
  </si>
  <si>
    <t xml:space="preserve">— both words new</t>
  </si>
  <si>
    <t xml:space="preserve">— mixed (reuses an existing thesis word)</t>
  </si>
  <si>
    <t xml:space="preserve">New recordings needed (audio gate — separate decision)</t>
  </si>
  <si>
    <t xml:space="preserve">Pairs signed off</t>
  </si>
  <si>
    <t xml:space="preserve">Sign-off protocol: for each pair set sign_off = yes / no / revise. For mixed pairs ALSO confirm thesis_modality_check (the existing word's thesis modality must match the pair's floor — haptic floor reuses re-classify thesis words per norms).</t>
  </si>
  <si>
    <t xml:space="preserve">Gloss style follows the thesis meaning-prompt convention: short English phrase, lowercase, comma-separated senses.</t>
  </si>
  <si>
    <t xml:space="preserve">key</t>
  </si>
  <si>
    <t xml:space="preserve">pool</t>
  </si>
  <si>
    <t xml:space="preserve">hira</t>
  </si>
  <si>
    <t xml:space="preserve">kata</t>
  </si>
  <si>
    <t xml:space="preserve">Dominant_modality</t>
  </si>
  <si>
    <t xml:space="preserve">Maximum_perceptual_strength</t>
  </si>
  <si>
    <t xml:space="preserve">Iconicity</t>
  </si>
  <si>
    <t xml:space="preserve">Modality_exclusivity</t>
  </si>
  <si>
    <t xml:space="preserve">freq_uni</t>
  </si>
  <si>
    <t xml:space="preserve">kata_share</t>
  </si>
  <si>
    <t xml:space="preserve">redup</t>
  </si>
  <si>
    <t xml:space="preserve">voiced_onset</t>
  </si>
  <si>
    <t xml:space="preserve">ri_suffix</t>
  </si>
  <si>
    <t xml:space="preserve">final_q</t>
  </si>
  <si>
    <t xml:space="preserve">len_morae_approx</t>
  </si>
  <si>
    <t xml:space="preserve">score</t>
  </si>
  <si>
    <t xml:space="preserve">draft_gloss</t>
  </si>
  <si>
    <t xml:space="preserve">sign_off</t>
  </si>
  <si>
    <t xml:space="preserve">notes</t>
  </si>
  <si>
    <t xml:space="preserve">shittori</t>
  </si>
  <si>
    <t xml:space="preserve">A</t>
  </si>
  <si>
    <t xml:space="preserve">しっとり</t>
  </si>
  <si>
    <t xml:space="preserve">シットリ</t>
  </si>
  <si>
    <t xml:space="preserve">Haptic</t>
  </si>
  <si>
    <t xml:space="preserve">moist, silky-damp</t>
  </si>
  <si>
    <t xml:space="preserve">butsubutsu</t>
  </si>
  <si>
    <t xml:space="preserve">ぶつぶつ</t>
  </si>
  <si>
    <t xml:space="preserve">ブツブツ</t>
  </si>
  <si>
    <t xml:space="preserve">bumpy, covered in small lumps</t>
  </si>
  <si>
    <t xml:space="preserve">saq</t>
  </si>
  <si>
    <t xml:space="preserve">B</t>
  </si>
  <si>
    <t xml:space="preserve">Auditory</t>
  </si>
  <si>
    <t xml:space="preserve">swiftly, in one stroke</t>
  </si>
  <si>
    <t xml:space="preserve">nikkori</t>
  </si>
  <si>
    <t xml:space="preserve">にっこり</t>
  </si>
  <si>
    <t xml:space="preserve">ニッコリ</t>
  </si>
  <si>
    <t xml:space="preserve">Visual</t>
  </si>
  <si>
    <t xml:space="preserve">beaming, with a broad smile</t>
  </si>
  <si>
    <t xml:space="preserve">gyuq</t>
  </si>
  <si>
    <t xml:space="preserve">squeezing tight</t>
  </si>
  <si>
    <t xml:space="preserve">batabata</t>
  </si>
  <si>
    <t xml:space="preserve">ばたばた</t>
  </si>
  <si>
    <t xml:space="preserve">バタバタ</t>
  </si>
  <si>
    <t xml:space="preserve">clattering, flapping about</t>
  </si>
  <si>
    <t xml:space="preserve">fuwafuwa</t>
  </si>
  <si>
    <t xml:space="preserve">ふわふわ</t>
  </si>
  <si>
    <t xml:space="preserve">フワフワ</t>
  </si>
  <si>
    <t xml:space="preserve">soft, fluffy, airy</t>
  </si>
  <si>
    <t xml:space="preserve">jikkuri</t>
  </si>
  <si>
    <t xml:space="preserve">じっくり</t>
  </si>
  <si>
    <t xml:space="preserve">ジックリ</t>
  </si>
  <si>
    <t xml:space="preserve">carefully, taking a long look</t>
  </si>
  <si>
    <t xml:space="preserve">shikkari</t>
  </si>
  <si>
    <t xml:space="preserve">firmly, reliably</t>
  </si>
  <si>
    <t xml:space="preserve">sarasara</t>
  </si>
  <si>
    <t xml:space="preserve">さらさら</t>
  </si>
  <si>
    <t xml:space="preserve">サラサラ</t>
  </si>
  <si>
    <t xml:space="preserve">smooth, dry, silky</t>
  </si>
  <si>
    <t xml:space="preserve">chiraq</t>
  </si>
  <si>
    <t xml:space="preserve">catching sight for an instant</t>
  </si>
  <si>
    <t xml:space="preserve">guruguru</t>
  </si>
  <si>
    <t xml:space="preserve">ぐるぐる</t>
  </si>
  <si>
    <t xml:space="preserve">グルグル</t>
  </si>
  <si>
    <t xml:space="preserve">Interoceptive</t>
  </si>
  <si>
    <t xml:space="preserve">head spinning, dizzy whirl</t>
  </si>
  <si>
    <t xml:space="preserve">pittari</t>
  </si>
  <si>
    <t xml:space="preserve">ぴったり</t>
  </si>
  <si>
    <t xml:space="preserve">ピッタリ</t>
  </si>
  <si>
    <t xml:space="preserve">fitting exactly, snug</t>
  </si>
  <si>
    <t xml:space="preserve">gakkari</t>
  </si>
  <si>
    <t xml:space="preserve">がっかり</t>
  </si>
  <si>
    <t xml:space="preserve">ガッカリ</t>
  </si>
  <si>
    <t xml:space="preserve">crestfallen, deflated</t>
  </si>
  <si>
    <t xml:space="preserve">mechakucha</t>
  </si>
  <si>
    <t xml:space="preserve">めちゃくちゃ</t>
  </si>
  <si>
    <t xml:space="preserve">メチャクチャ</t>
  </si>
  <si>
    <t xml:space="preserve">in total disarray</t>
  </si>
  <si>
    <t xml:space="preserve">assari</t>
  </si>
  <si>
    <t xml:space="preserve">あっさり</t>
  </si>
  <si>
    <t xml:space="preserve">アッサリ</t>
  </si>
  <si>
    <t xml:space="preserve">Gustatory</t>
  </si>
  <si>
    <t xml:space="preserve">light, plain (taste)</t>
  </si>
  <si>
    <t xml:space="preserve">potsun</t>
  </si>
  <si>
    <t xml:space="preserve">ぽつん</t>
  </si>
  <si>
    <t xml:space="preserve">ポツン</t>
  </si>
  <si>
    <t xml:space="preserve">all alone, a solitary dot</t>
  </si>
  <si>
    <t xml:space="preserve">dorodoro</t>
  </si>
  <si>
    <t xml:space="preserve">どろどろ</t>
  </si>
  <si>
    <t xml:space="preserve">ドロドロ</t>
  </si>
  <si>
    <t xml:space="preserve">thick, muddy, syrupy</t>
  </si>
  <si>
    <t xml:space="preserve">togetoge</t>
  </si>
  <si>
    <t xml:space="preserve">prickly, thorny</t>
  </si>
  <si>
    <t xml:space="preserve">nebaneba</t>
  </si>
  <si>
    <t xml:space="preserve">ねばねば</t>
  </si>
  <si>
    <t xml:space="preserve">ネバネバ</t>
  </si>
  <si>
    <t xml:space="preserve">sticky, gooey</t>
  </si>
  <si>
    <t xml:space="preserve">fusafusa</t>
  </si>
  <si>
    <t xml:space="preserve">ふさふさ</t>
  </si>
  <si>
    <t xml:space="preserve">フサフサ</t>
  </si>
  <si>
    <t xml:space="preserve">fluffy, tufted</t>
  </si>
  <si>
    <t xml:space="preserve">chirari</t>
  </si>
  <si>
    <t xml:space="preserve">ちらり</t>
  </si>
  <si>
    <t xml:space="preserve">チラリ</t>
  </si>
  <si>
    <t xml:space="preserve">a fleeting glimpse</t>
  </si>
  <si>
    <t xml:space="preserve">kachakacha</t>
  </si>
  <si>
    <t xml:space="preserve">clattering of small hard objects</t>
  </si>
  <si>
    <t xml:space="preserve">suq</t>
  </si>
  <si>
    <t xml:space="preserve">smoothly, without resistance</t>
  </si>
  <si>
    <t xml:space="preserve">yukkuri</t>
  </si>
  <si>
    <t xml:space="preserve">slowly, unhurriedly</t>
  </si>
  <si>
    <t xml:space="preserve">urouro</t>
  </si>
  <si>
    <t xml:space="preserve">うろうろ</t>
  </si>
  <si>
    <t xml:space="preserve">ウロウロ</t>
  </si>
  <si>
    <t xml:space="preserve">wandering aimlessly</t>
  </si>
  <si>
    <t xml:space="preserve">pokipoki</t>
  </si>
  <si>
    <t xml:space="preserve">snapping dry sticks</t>
  </si>
  <si>
    <t xml:space="preserve">tappuri</t>
  </si>
  <si>
    <t xml:space="preserve">たっぷり</t>
  </si>
  <si>
    <t xml:space="preserve">タップリ</t>
  </si>
  <si>
    <t xml:space="preserve">amply, in generous measure</t>
  </si>
  <si>
    <t xml:space="preserve">kishikishi</t>
  </si>
  <si>
    <t xml:space="preserve">creaking under strain</t>
  </si>
  <si>
    <t xml:space="preserve">uttori</t>
  </si>
  <si>
    <t xml:space="preserve">うっとり</t>
  </si>
  <si>
    <t xml:space="preserve">ウットリ</t>
  </si>
  <si>
    <t xml:space="preserve">spellbound, dreamily entranced</t>
  </si>
  <si>
    <t xml:space="preserve">kurukuru</t>
  </si>
  <si>
    <t xml:space="preserve">くるくる</t>
  </si>
  <si>
    <t xml:space="preserve">クルクル</t>
  </si>
  <si>
    <t xml:space="preserve">twirling round and round</t>
  </si>
  <si>
    <t xml:space="preserve">daradara</t>
  </si>
  <si>
    <t xml:space="preserve">だらだら</t>
  </si>
  <si>
    <t xml:space="preserve">ダラダラ</t>
  </si>
  <si>
    <t xml:space="preserve">listless, dragging on</t>
  </si>
  <si>
    <t xml:space="preserve">kutsukutsu</t>
  </si>
  <si>
    <t xml:space="preserve">chuckling under one's breath</t>
  </si>
  <si>
    <t xml:space="preserve">gakun</t>
  </si>
  <si>
    <t xml:space="preserve">がくん</t>
  </si>
  <si>
    <t xml:space="preserve">ガクン</t>
  </si>
  <si>
    <t xml:space="preserve">a sudden jolt or drop</t>
  </si>
  <si>
    <t xml:space="preserve">batchiri</t>
  </si>
  <si>
    <t xml:space="preserve">perfectly, without a hitch</t>
  </si>
  <si>
    <t xml:space="preserve">furafura</t>
  </si>
  <si>
    <t xml:space="preserve">ふらふら</t>
  </si>
  <si>
    <t xml:space="preserve">フラフラ</t>
  </si>
  <si>
    <t xml:space="preserve">unsteady, wobbly</t>
  </si>
  <si>
    <t xml:space="preserve">pikari</t>
  </si>
  <si>
    <t xml:space="preserve">a sudden flash of light</t>
  </si>
  <si>
    <t xml:space="preserve">hakkiri</t>
  </si>
  <si>
    <t xml:space="preserve">clearly, distinctly</t>
  </si>
  <si>
    <t xml:space="preserve">tsururi</t>
  </si>
  <si>
    <t xml:space="preserve">slipping smoothly</t>
  </si>
  <si>
    <t xml:space="preserve">sappari</t>
  </si>
  <si>
    <t xml:space="preserve">さっぱり</t>
  </si>
  <si>
    <t xml:space="preserve">サッパリ</t>
  </si>
  <si>
    <t xml:space="preserve">refreshing, clean (taste)</t>
  </si>
  <si>
    <t xml:space="preserve">kossori</t>
  </si>
  <si>
    <t xml:space="preserve">こっそり</t>
  </si>
  <si>
    <t xml:space="preserve">コッソリ</t>
  </si>
  <si>
    <t xml:space="preserve">stealthily, on the sly</t>
  </si>
  <si>
    <t xml:space="preserve">boribori</t>
  </si>
  <si>
    <t xml:space="preserve">crunching loudly</t>
  </si>
  <si>
    <t xml:space="preserve">dotadota</t>
  </si>
  <si>
    <t xml:space="preserve">stomping heavily</t>
  </si>
  <si>
    <t xml:space="preserve">hissori</t>
  </si>
  <si>
    <t xml:space="preserve">ひっそり</t>
  </si>
  <si>
    <t xml:space="preserve">ヒッソリ</t>
  </si>
  <si>
    <t xml:space="preserve">hushed, still</t>
  </si>
  <si>
    <t xml:space="preserve">wasawasa</t>
  </si>
  <si>
    <t xml:space="preserve">restlessly rustling</t>
  </si>
  <si>
    <t xml:space="preserve">charachara</t>
  </si>
  <si>
    <t xml:space="preserve">jangling flashily</t>
  </si>
  <si>
    <t xml:space="preserve">kebakeba</t>
  </si>
  <si>
    <t xml:space="preserve">gaudy, garish</t>
  </si>
  <si>
    <t xml:space="preserve">hiyari</t>
  </si>
  <si>
    <t xml:space="preserve">a chill of sudden fear</t>
  </si>
  <si>
    <t xml:space="preserve">gushogusho</t>
  </si>
  <si>
    <t xml:space="preserve">soaked, sodden</t>
  </si>
  <si>
    <t xml:space="preserve">ukkari</t>
  </si>
  <si>
    <t xml:space="preserve">うっかり</t>
  </si>
  <si>
    <t xml:space="preserve">ウッカリ</t>
  </si>
  <si>
    <t xml:space="preserve">a careless slip of the mind</t>
  </si>
  <si>
    <t xml:space="preserve">funyafunya</t>
  </si>
  <si>
    <t xml:space="preserve">limp, squishy</t>
  </si>
  <si>
    <t xml:space="preserve">pokan</t>
  </si>
  <si>
    <t xml:space="preserve">ぽかん</t>
  </si>
  <si>
    <t xml:space="preserve">ポカン</t>
  </si>
  <si>
    <t xml:space="preserve">blank, vacantly dazed</t>
  </si>
  <si>
    <t xml:space="preserve">garan</t>
  </si>
  <si>
    <t xml:space="preserve">hollow, deserted echo</t>
  </si>
  <si>
    <t xml:space="preserve">petan</t>
  </si>
  <si>
    <t xml:space="preserve">flattening with a soft slap</t>
  </si>
  <si>
    <t xml:space="preserve">korori</t>
  </si>
  <si>
    <t xml:space="preserve">rolling over easily</t>
  </si>
  <si>
    <t xml:space="preserve">kyoton</t>
  </si>
  <si>
    <t xml:space="preserve">きょとん</t>
  </si>
  <si>
    <t xml:space="preserve">キョトン</t>
  </si>
  <si>
    <t xml:space="preserve">wide-eyed and uncomprehending</t>
  </si>
  <si>
    <t xml:space="preserve">potopoto</t>
  </si>
  <si>
    <t xml:space="preserve">dripping in steady drops</t>
  </si>
  <si>
    <t xml:space="preserve">debudebu</t>
  </si>
  <si>
    <t xml:space="preserve">flabby, fat</t>
  </si>
  <si>
    <t xml:space="preserve">kippari</t>
  </si>
  <si>
    <t xml:space="preserve">きっぱり</t>
  </si>
  <si>
    <t xml:space="preserve">キッパリ</t>
  </si>
  <si>
    <t xml:space="preserve">decisive, clean-cut</t>
  </si>
  <si>
    <t xml:space="preserve">kitchiri</t>
  </si>
  <si>
    <t xml:space="preserve">neatly, precisely</t>
  </si>
  <si>
    <t xml:space="preserve">chokichoki</t>
  </si>
  <si>
    <t xml:space="preserve">snipping with scissors</t>
  </si>
  <si>
    <t xml:space="preserve">kerakera</t>
  </si>
  <si>
    <t xml:space="preserve">cackling openly</t>
  </si>
  <si>
    <t xml:space="preserve">burari</t>
  </si>
  <si>
    <t xml:space="preserve">ぶらり</t>
  </si>
  <si>
    <t xml:space="preserve">ブラリ</t>
  </si>
  <si>
    <t xml:space="preserve">dangling loosely; dropping by aimlessly</t>
  </si>
  <si>
    <t xml:space="preserve">burabura</t>
  </si>
  <si>
    <t xml:space="preserve">ぶらぶら</t>
  </si>
  <si>
    <t xml:space="preserve">ブラブラ</t>
  </si>
  <si>
    <t xml:space="preserve">dangling; strolling idly</t>
  </si>
  <si>
    <t xml:space="preserve">pekon</t>
  </si>
  <si>
    <t xml:space="preserve">bowing with a bob</t>
  </si>
  <si>
    <t xml:space="preserve">bikuq</t>
  </si>
  <si>
    <t xml:space="preserve">flinching with a start</t>
  </si>
  <si>
    <t xml:space="preserve">sukkari</t>
  </si>
  <si>
    <t xml:space="preserve">completely, utterly</t>
  </si>
  <si>
    <t xml:space="preserve">sassa</t>
  </si>
  <si>
    <t xml:space="preserve">さっさ</t>
  </si>
  <si>
    <t xml:space="preserve">サッサ</t>
  </si>
  <si>
    <t xml:space="preserve">briskly, without dawdling</t>
  </si>
  <si>
    <t xml:space="preserve">harari</t>
  </si>
  <si>
    <t xml:space="preserve">fluttering down lightly</t>
  </si>
  <si>
    <t xml:space="preserve">choppiri</t>
  </si>
  <si>
    <t xml:space="preserve">ちょっぴり</t>
  </si>
  <si>
    <t xml:space="preserve">チョッピリ</t>
  </si>
  <si>
    <t xml:space="preserve">just a tiny bit</t>
  </si>
  <si>
    <t xml:space="preserve">futsufutsu</t>
  </si>
  <si>
    <t xml:space="preserve">ふつふつ</t>
  </si>
  <si>
    <t xml:space="preserve">フツフツ</t>
  </si>
  <si>
    <t xml:space="preserve">welling up from within</t>
  </si>
  <si>
    <t xml:space="preserve">shinashina</t>
  </si>
  <si>
    <t xml:space="preserve">supple, pliant</t>
  </si>
  <si>
    <t xml:space="preserve">pokupoku</t>
  </si>
  <si>
    <t xml:space="preserve">clip-clopping softly</t>
  </si>
  <si>
    <t xml:space="preserve">birabira</t>
  </si>
  <si>
    <t xml:space="preserve">fluttering flaps</t>
  </si>
  <si>
    <t xml:space="preserve">karari</t>
  </si>
  <si>
    <t xml:space="preserve">からり</t>
  </si>
  <si>
    <t xml:space="preserve">カラリ</t>
  </si>
  <si>
    <t xml:space="preserve">crisply dry; opening with a clatter</t>
  </si>
  <si>
    <t xml:space="preserve">parari</t>
  </si>
  <si>
    <t xml:space="preserve">sprinkling lightly</t>
  </si>
  <si>
    <t xml:space="preserve">kichiq</t>
  </si>
  <si>
    <t xml:space="preserve">precisely, exactly</t>
  </si>
  <si>
    <t xml:space="preserve">yururi</t>
  </si>
  <si>
    <t xml:space="preserve">nosori</t>
  </si>
  <si>
    <t xml:space="preserve">lumbering sluggishly</t>
  </si>
  <si>
    <t xml:space="preserve">chirochiro</t>
  </si>
  <si>
    <t xml:space="preserve">flickering (flame, glance)</t>
  </si>
  <si>
    <t xml:space="preserve">gujiguji</t>
  </si>
  <si>
    <t xml:space="preserve">dithering, mumbling</t>
  </si>
  <si>
    <t xml:space="preserve">guq</t>
  </si>
  <si>
    <t xml:space="preserve">gripping firmly, gulping</t>
  </si>
  <si>
    <t xml:space="preserve">tsuratsura</t>
  </si>
  <si>
    <t xml:space="preserve">musing deeply</t>
  </si>
  <si>
    <t xml:space="preserve">gikugiku</t>
  </si>
  <si>
    <t xml:space="preserve">jerky, stiff</t>
  </si>
  <si>
    <t xml:space="preserve">hiyohiyo</t>
  </si>
  <si>
    <t xml:space="preserve">fluttering weakly</t>
  </si>
  <si>
    <t xml:space="preserve">buwabuwa</t>
  </si>
  <si>
    <t xml:space="preserve">spongy, waterlogged</t>
  </si>
  <si>
    <t xml:space="preserve">bikkuri</t>
  </si>
  <si>
    <t xml:space="preserve">びっくり</t>
  </si>
  <si>
    <t xml:space="preserve">ビックリ</t>
  </si>
  <si>
    <t xml:space="preserve">startled, surprised</t>
  </si>
  <si>
    <t xml:space="preserve">pair_id</t>
  </si>
  <si>
    <t xml:space="preserve">floor</t>
  </si>
  <si>
    <t xml:space="preserve">word_1 (new)</t>
  </si>
  <si>
    <t xml:space="preserve">word_2</t>
  </si>
  <si>
    <t xml:space="preserve">word_2_is_existing_thesis_word</t>
  </si>
  <si>
    <t xml:space="preserve">contrast_axis</t>
  </si>
  <si>
    <t xml:space="preserve">difficulty_prior</t>
  </si>
  <si>
    <t xml:space="preserve">new_recordings</t>
  </si>
  <si>
    <t xml:space="preserve">thesis_modality_check</t>
  </si>
  <si>
    <t xml:space="preserve">A1</t>
  </si>
  <si>
    <t xml:space="preserve">loud commotion vs silence (antonymic)</t>
  </si>
  <si>
    <t xml:space="preserve">easy</t>
  </si>
  <si>
    <t xml:space="preserve">w1: clattering, flapping about | w2: hushed, still</t>
  </si>
  <si>
    <t xml:space="preserve">A2</t>
  </si>
  <si>
    <t xml:space="preserve">poripori</t>
  </si>
  <si>
    <t xml:space="preserve">loud vs quiet crunch — minimal contrast</t>
  </si>
  <si>
    <t xml:space="preserve">hard</t>
  </si>
  <si>
    <t xml:space="preserve">CHECK</t>
  </si>
  <si>
    <t xml:space="preserve">w1: crunching loudly | w2: nibbling with a quiet crunch</t>
  </si>
  <si>
    <t xml:space="preserve">A3</t>
  </si>
  <si>
    <t xml:space="preserve">jaajaa</t>
  </si>
  <si>
    <t xml:space="preserve">dripping vs gushing water</t>
  </si>
  <si>
    <t xml:space="preserve">w1: dripping in steady drops | w2: gushing noisily</t>
  </si>
  <si>
    <t xml:space="preserve">A4</t>
  </si>
  <si>
    <t xml:space="preserve">open vs suppressed laughter</t>
  </si>
  <si>
    <t xml:space="preserve">medium</t>
  </si>
  <si>
    <t xml:space="preserve">w1: cackling openly | w2: chuckling under one's breath</t>
  </si>
  <si>
    <t xml:space="preserve">A5</t>
  </si>
  <si>
    <t xml:space="preserve">snapping vs snipping</t>
  </si>
  <si>
    <t xml:space="preserve">w1: snapping dry sticks | w2: snipping with scissors</t>
  </si>
  <si>
    <t xml:space="preserve">A6</t>
  </si>
  <si>
    <t xml:space="preserve">creaking vs stomping</t>
  </si>
  <si>
    <t xml:space="preserve">w1: creaking under strain | w2: stomping heavily</t>
  </si>
  <si>
    <t xml:space="preserve">H1</t>
  </si>
  <si>
    <t xml:space="preserve">dry-smooth vs sticky (textbook contrast)</t>
  </si>
  <si>
    <t xml:space="preserve">w1: smooth, dry, silky | w2: sticky, gooey</t>
  </si>
  <si>
    <t xml:space="preserve">H2</t>
  </si>
  <si>
    <t xml:space="preserve">gotsugotsu</t>
  </si>
  <si>
    <t xml:space="preserve">fluffy-soft vs rugged-hard</t>
  </si>
  <si>
    <t xml:space="preserve">w1: soft, fluffy, airy | w2: rugged, craggy</t>
  </si>
  <si>
    <t xml:space="preserve">H3</t>
  </si>
  <si>
    <t xml:space="preserve">bosabosa</t>
  </si>
  <si>
    <t xml:space="preserve">silky-moist vs dry-tousled</t>
  </si>
  <si>
    <t xml:space="preserve">w1: moist, silky-damp | w2: dry, tousled</t>
  </si>
  <si>
    <t xml:space="preserve">H4</t>
  </si>
  <si>
    <t xml:space="preserve">viscous sludge vs frictionless slip</t>
  </si>
  <si>
    <t xml:space="preserve">w1: thick, muddy, syrupy | w2: slipping smoothly</t>
  </si>
  <si>
    <t xml:space="preserve">H5</t>
  </si>
  <si>
    <t xml:space="preserve">prickly vs fluffy</t>
  </si>
  <si>
    <t xml:space="preserve">w1: prickly, thorny | w2: fluffy, tufted</t>
  </si>
  <si>
    <t xml:space="preserve">H6</t>
  </si>
  <si>
    <t xml:space="preserve">tight grip vs limp squish</t>
  </si>
  <si>
    <t xml:space="preserve">w1: squeezing tight | w2: limp, squishy</t>
  </si>
  <si>
    <t xml:space="preserve">I1</t>
  </si>
  <si>
    <t xml:space="preserve">unzari</t>
  </si>
  <si>
    <t xml:space="preserve">entranced vs fed up</t>
  </si>
  <si>
    <t xml:space="preserve">w1: spellbound, dreamily entranced | w2: fed up, sick of it</t>
  </si>
  <si>
    <t xml:space="preserve">I2</t>
  </si>
  <si>
    <t xml:space="preserve">hokkori</t>
  </si>
  <si>
    <t xml:space="preserve">chill of fear vs cozy warmth</t>
  </si>
  <si>
    <t xml:space="preserve">w1: a chill of sudden fear | w2: warm and comforted</t>
  </si>
  <si>
    <t xml:space="preserve">I3</t>
  </si>
  <si>
    <t xml:space="preserve">listless vs decisive</t>
  </si>
  <si>
    <t xml:space="preserve">w1: listless, dragging on | w2: decisive, clean-cut</t>
  </si>
  <si>
    <t xml:space="preserve">I4</t>
  </si>
  <si>
    <t xml:space="preserve">dizzy whirl vs sudden jolt</t>
  </si>
  <si>
    <t xml:space="preserve">w1: head spinning, dizzy whirl | w2: a sudden jolt or drop</t>
  </si>
  <si>
    <t xml:space="preserve">I5</t>
  </si>
  <si>
    <t xml:space="preserve">wakuwaku</t>
  </si>
  <si>
    <t xml:space="preserve">blank daze vs tingling excitement</t>
  </si>
  <si>
    <t xml:space="preserve">w1: blank, vacantly dazed | w2: tingling with excitement</t>
  </si>
  <si>
    <t xml:space="preserve">V1</t>
  </si>
  <si>
    <t xml:space="preserve">fleeting glimpse vs long careful look</t>
  </si>
  <si>
    <t xml:space="preserve">w1: a fleeting glimpse | w2: carefully, taking a long look</t>
  </si>
  <si>
    <t xml:space="preserve">V2</t>
  </si>
  <si>
    <t xml:space="preserve">bisshiri</t>
  </si>
  <si>
    <t xml:space="preserve">isolated dot vs densely packed</t>
  </si>
  <si>
    <t xml:space="preserve">w1: all alone, a solitary dot | w2: packed densely</t>
  </si>
  <si>
    <t xml:space="preserve">V3</t>
  </si>
  <si>
    <t xml:space="preserve">pitari</t>
  </si>
  <si>
    <t xml:space="preserve">twirling vs stopping exactly</t>
  </si>
  <si>
    <t xml:space="preserve">w1: twirling round and round | w2: stopping exactly, fitting perfectly</t>
  </si>
  <si>
    <t xml:space="preserve">V4</t>
  </si>
  <si>
    <t xml:space="preserve">aimless wandering vs brisk purpose</t>
  </si>
  <si>
    <t xml:space="preserve">w1: wandering aimlessly | w2: briskly, without dawdling</t>
  </si>
  <si>
    <t xml:space="preserve">V5</t>
  </si>
  <si>
    <t xml:space="preserve">donyori</t>
  </si>
  <si>
    <t xml:space="preserve">flash of light vs leaden dullness</t>
  </si>
  <si>
    <t xml:space="preserve">w1: a sudden flash of light | w2: dull, leaden, overcast</t>
  </si>
  <si>
    <t xml:space="preserve">V6</t>
  </si>
  <si>
    <t xml:space="preserve">total disarray vs neat precision</t>
  </si>
  <si>
    <t xml:space="preserve">w1: in total disarray | w2: neatly, precisely</t>
  </si>
  <si>
    <t xml:space="preserve">why here</t>
  </si>
  <si>
    <t xml:space="preserve">fully conventionalized ideophone — iconicity opaque; fuel for a "convention takes over" hard tier / Lexicalization Frontier idea (F2), not core pairs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</si>
</sst>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4A4A4A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  <c r="B1" s="2"/>
    </row>
    <row r="2" customFormat="false" ht="39.55" hidden="false" customHeight="false" outlineLevel="0" collapsed="false">
      <c r="A2" s="2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39.55" hidden="false" customHeight="false" outlineLevel="0" collapsed="false">
      <c r="A4" s="2" t="s">
        <v>2</v>
      </c>
      <c r="B4" s="2"/>
    </row>
    <row r="5" customFormat="false" ht="26.85" hidden="false" customHeight="false" outlineLevel="0" collapsed="false">
      <c r="A5" s="2" t="s">
        <v>3</v>
      </c>
      <c r="B5" s="2"/>
    </row>
    <row r="6" customFormat="false" ht="39.55" hidden="false" customHeight="false" outlineLevel="0" collapsed="false">
      <c r="A6" s="2" t="s">
        <v>4</v>
      </c>
      <c r="B6" s="2"/>
    </row>
    <row r="7" customFormat="false" ht="15" hidden="false" customHeight="false" outlineLevel="0" collapsed="false">
      <c r="A7" s="2"/>
      <c r="B7" s="2"/>
    </row>
    <row r="8" customFormat="false" ht="15" hidden="false" customHeight="false" outlineLevel="0" collapsed="false">
      <c r="A8" s="2" t="s">
        <v>5</v>
      </c>
      <c r="B8" s="2" t="n">
        <f aca="false">COUNTA(Pairs!A2:A100)</f>
        <v>23</v>
      </c>
    </row>
    <row r="9" customFormat="false" ht="15" hidden="false" customHeight="false" outlineLevel="0" collapsed="false">
      <c r="A9" s="2" t="s">
        <v>6</v>
      </c>
      <c r="B9" s="2" t="n">
        <f aca="false">COUNTIF(Pairs!E2:E100,FALSE())</f>
        <v>13</v>
      </c>
    </row>
    <row r="10" customFormat="false" ht="15" hidden="false" customHeight="false" outlineLevel="0" collapsed="false">
      <c r="A10" s="2" t="s">
        <v>7</v>
      </c>
      <c r="B10" s="2" t="n">
        <f aca="false">COUNTIF(Pairs!E2:E100,TRUE())</f>
        <v>10</v>
      </c>
    </row>
    <row r="11" customFormat="false" ht="15" hidden="false" customHeight="false" outlineLevel="0" collapsed="false">
      <c r="A11" s="2" t="s">
        <v>8</v>
      </c>
      <c r="B11" s="2" t="n">
        <f aca="false">SUM(Pairs!H2:H100)</f>
        <v>36</v>
      </c>
    </row>
    <row r="12" customFormat="false" ht="15" hidden="false" customHeight="false" outlineLevel="0" collapsed="false">
      <c r="A12" s="2" t="s">
        <v>9</v>
      </c>
      <c r="B12" s="2" t="n">
        <f aca="false">COUNTIF(Pairs!I2:I100,"yes")</f>
        <v>0</v>
      </c>
    </row>
    <row r="13" customFormat="false" ht="15" hidden="false" customHeight="false" outlineLevel="0" collapsed="false">
      <c r="A13" s="2"/>
      <c r="B13" s="2"/>
    </row>
    <row r="14" customFormat="false" ht="52.2" hidden="false" customHeight="false" outlineLevel="0" collapsed="false">
      <c r="A14" s="2" t="s">
        <v>10</v>
      </c>
      <c r="B14" s="2"/>
    </row>
    <row r="15" customFormat="false" ht="26.85" hidden="false" customHeight="false" outlineLevel="0" collapsed="false">
      <c r="A15" s="2" t="s">
        <v>11</v>
      </c>
      <c r="B1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10" min="8" style="0" width="10"/>
    <col collapsed="false" customWidth="true" hidden="false" outlineLevel="0" max="15" min="11" style="0" width="7"/>
    <col collapsed="false" customWidth="true" hidden="false" outlineLevel="0" max="16" min="16" style="0" width="8"/>
    <col collapsed="false" customWidth="true" hidden="false" outlineLevel="0" max="17" min="17" style="0" width="34"/>
    <col collapsed="false" customWidth="true" hidden="false" outlineLevel="0" max="18" min="18" style="0" width="9"/>
    <col collapsed="false" customWidth="true" hidden="false" outlineLevel="0" max="19" min="19" style="0" width="20"/>
  </cols>
  <sheetData>
    <row r="1" customFormat="false" ht="15" hidden="false" customHeight="fals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</row>
    <row r="2" customFormat="false" ht="15" hidden="false" customHeight="false" outlineLevel="0" collapsed="false">
      <c r="A2" s="4" t="s">
        <v>31</v>
      </c>
      <c r="B2" s="4" t="s">
        <v>32</v>
      </c>
      <c r="C2" s="5" t="s">
        <v>33</v>
      </c>
      <c r="D2" s="5" t="s">
        <v>34</v>
      </c>
      <c r="E2" s="4" t="s">
        <v>35</v>
      </c>
      <c r="F2" s="4" t="n">
        <v>4.636</v>
      </c>
      <c r="G2" s="4"/>
      <c r="H2" s="4" t="n">
        <v>20.556</v>
      </c>
      <c r="I2" s="4" t="n">
        <v>622</v>
      </c>
      <c r="J2" s="4" t="n">
        <v>0.024</v>
      </c>
      <c r="K2" s="6" t="b">
        <f aca="false">FALSE()</f>
        <v>0</v>
      </c>
      <c r="L2" s="6" t="b">
        <f aca="false">FALSE()</f>
        <v>0</v>
      </c>
      <c r="M2" s="6" t="b">
        <f aca="false">TRUE()</f>
        <v>1</v>
      </c>
      <c r="N2" s="6" t="b">
        <f aca="false">FALSE()</f>
        <v>0</v>
      </c>
      <c r="O2" s="4" t="n">
        <v>3</v>
      </c>
      <c r="P2" s="4" t="n">
        <v>1.248</v>
      </c>
      <c r="Q2" s="4" t="s">
        <v>36</v>
      </c>
      <c r="R2" s="4"/>
      <c r="S2" s="4"/>
    </row>
    <row r="3" customFormat="false" ht="15" hidden="false" customHeight="false" outlineLevel="0" collapsed="false">
      <c r="A3" s="4" t="s">
        <v>37</v>
      </c>
      <c r="B3" s="4" t="s">
        <v>32</v>
      </c>
      <c r="C3" s="5" t="s">
        <v>38</v>
      </c>
      <c r="D3" s="5" t="s">
        <v>39</v>
      </c>
      <c r="E3" s="4" t="s">
        <v>35</v>
      </c>
      <c r="F3" s="4" t="n">
        <v>4.636</v>
      </c>
      <c r="G3" s="4" t="n">
        <v>3.2</v>
      </c>
      <c r="H3" s="4" t="n">
        <v>25</v>
      </c>
      <c r="I3" s="4" t="n">
        <v>494</v>
      </c>
      <c r="J3" s="4" t="n">
        <v>0.537</v>
      </c>
      <c r="K3" s="6" t="b">
        <f aca="false">TRUE()</f>
        <v>1</v>
      </c>
      <c r="L3" s="6" t="b">
        <f aca="false">TRUE()</f>
        <v>1</v>
      </c>
      <c r="M3" s="6" t="b">
        <f aca="false">FALSE()</f>
        <v>0</v>
      </c>
      <c r="N3" s="6" t="b">
        <f aca="false">FALSE()</f>
        <v>0</v>
      </c>
      <c r="O3" s="4" t="n">
        <v>4</v>
      </c>
      <c r="P3" s="4" t="n">
        <v>1.216</v>
      </c>
      <c r="Q3" s="4" t="s">
        <v>40</v>
      </c>
      <c r="R3" s="4"/>
      <c r="S3" s="4"/>
    </row>
    <row r="4" customFormat="false" ht="15" hidden="false" customHeight="false" outlineLevel="0" collapsed="false">
      <c r="A4" s="4" t="s">
        <v>41</v>
      </c>
      <c r="B4" s="4" t="s">
        <v>42</v>
      </c>
      <c r="C4" s="4"/>
      <c r="D4" s="4"/>
      <c r="E4" s="4" t="s">
        <v>43</v>
      </c>
      <c r="F4" s="4" t="n">
        <v>4.3</v>
      </c>
      <c r="G4" s="4"/>
      <c r="H4" s="4" t="n">
        <v>25.157</v>
      </c>
      <c r="I4" s="4" t="n">
        <v>1687</v>
      </c>
      <c r="J4" s="4"/>
      <c r="K4" s="6" t="b">
        <f aca="false">FALSE()</f>
        <v>0</v>
      </c>
      <c r="L4" s="6" t="b">
        <f aca="false">FALSE()</f>
        <v>0</v>
      </c>
      <c r="M4" s="6" t="b">
        <f aca="false">FALSE()</f>
        <v>0</v>
      </c>
      <c r="N4" s="6" t="b">
        <f aca="false">TRUE()</f>
        <v>1</v>
      </c>
      <c r="O4" s="4" t="n">
        <v>2</v>
      </c>
      <c r="P4" s="4" t="n">
        <v>1.178</v>
      </c>
      <c r="Q4" s="4" t="s">
        <v>44</v>
      </c>
      <c r="R4" s="4"/>
      <c r="S4" s="4"/>
    </row>
    <row r="5" customFormat="false" ht="15" hidden="false" customHeight="false" outlineLevel="0" collapsed="false">
      <c r="A5" s="4" t="s">
        <v>45</v>
      </c>
      <c r="B5" s="4" t="s">
        <v>32</v>
      </c>
      <c r="C5" s="5" t="s">
        <v>46</v>
      </c>
      <c r="D5" s="5" t="s">
        <v>47</v>
      </c>
      <c r="E5" s="4" t="s">
        <v>48</v>
      </c>
      <c r="F5" s="4" t="n">
        <v>4.8</v>
      </c>
      <c r="G5" s="4"/>
      <c r="H5" s="4" t="n">
        <v>58.537</v>
      </c>
      <c r="I5" s="4" t="n">
        <v>825</v>
      </c>
      <c r="J5" s="4" t="n">
        <v>0.223</v>
      </c>
      <c r="K5" s="6" t="b">
        <f aca="false">FALSE()</f>
        <v>0</v>
      </c>
      <c r="L5" s="6" t="b">
        <f aca="false">FALSE()</f>
        <v>0</v>
      </c>
      <c r="M5" s="6" t="b">
        <f aca="false">TRUE()</f>
        <v>1</v>
      </c>
      <c r="N5" s="6" t="b">
        <f aca="false">FALSE()</f>
        <v>0</v>
      </c>
      <c r="O5" s="4" t="n">
        <v>4</v>
      </c>
      <c r="P5" s="4" t="n">
        <v>1.142</v>
      </c>
      <c r="Q5" s="4" t="s">
        <v>49</v>
      </c>
      <c r="R5" s="4"/>
      <c r="S5" s="4"/>
    </row>
    <row r="6" customFormat="false" ht="15" hidden="false" customHeight="false" outlineLevel="0" collapsed="false">
      <c r="A6" s="4" t="s">
        <v>50</v>
      </c>
      <c r="B6" s="4" t="s">
        <v>42</v>
      </c>
      <c r="C6" s="4"/>
      <c r="D6" s="4"/>
      <c r="E6" s="4" t="s">
        <v>35</v>
      </c>
      <c r="F6" s="4" t="n">
        <v>4.636</v>
      </c>
      <c r="G6" s="4"/>
      <c r="H6" s="4" t="n">
        <v>27.545</v>
      </c>
      <c r="I6" s="4" t="n">
        <v>482</v>
      </c>
      <c r="J6" s="4"/>
      <c r="K6" s="6" t="b">
        <f aca="false">FALSE()</f>
        <v>0</v>
      </c>
      <c r="L6" s="6" t="b">
        <f aca="false">TRUE()</f>
        <v>1</v>
      </c>
      <c r="M6" s="6" t="b">
        <f aca="false">FALSE()</f>
        <v>0</v>
      </c>
      <c r="N6" s="6" t="b">
        <f aca="false">TRUE()</f>
        <v>1</v>
      </c>
      <c r="O6" s="4" t="n">
        <v>2</v>
      </c>
      <c r="P6" s="4" t="n">
        <v>1.112</v>
      </c>
      <c r="Q6" s="4" t="s">
        <v>51</v>
      </c>
      <c r="R6" s="4"/>
      <c r="S6" s="4"/>
    </row>
    <row r="7" customFormat="false" ht="15" hidden="false" customHeight="false" outlineLevel="0" collapsed="false">
      <c r="A7" s="4" t="s">
        <v>52</v>
      </c>
      <c r="B7" s="4" t="s">
        <v>32</v>
      </c>
      <c r="C7" s="5" t="s">
        <v>53</v>
      </c>
      <c r="D7" s="5" t="s">
        <v>54</v>
      </c>
      <c r="E7" s="4" t="s">
        <v>43</v>
      </c>
      <c r="F7" s="4" t="n">
        <v>4.2</v>
      </c>
      <c r="G7" s="4"/>
      <c r="H7" s="4" t="n">
        <v>23.27</v>
      </c>
      <c r="I7" s="4" t="n">
        <v>544</v>
      </c>
      <c r="J7" s="4" t="n">
        <v>0.776</v>
      </c>
      <c r="K7" s="6" t="b">
        <f aca="false">TRUE()</f>
        <v>1</v>
      </c>
      <c r="L7" s="6" t="b">
        <f aca="false">TRUE()</f>
        <v>1</v>
      </c>
      <c r="M7" s="6" t="b">
        <f aca="false">FALSE()</f>
        <v>0</v>
      </c>
      <c r="N7" s="6" t="b">
        <f aca="false">FALSE()</f>
        <v>0</v>
      </c>
      <c r="O7" s="4" t="n">
        <v>4</v>
      </c>
      <c r="P7" s="4" t="n">
        <v>1.06</v>
      </c>
      <c r="Q7" s="4" t="s">
        <v>55</v>
      </c>
      <c r="R7" s="4"/>
      <c r="S7" s="4"/>
    </row>
    <row r="8" customFormat="false" ht="15" hidden="false" customHeight="false" outlineLevel="0" collapsed="false">
      <c r="A8" s="4" t="s">
        <v>56</v>
      </c>
      <c r="B8" s="4" t="s">
        <v>32</v>
      </c>
      <c r="C8" s="5" t="s">
        <v>57</v>
      </c>
      <c r="D8" s="5" t="s">
        <v>58</v>
      </c>
      <c r="E8" s="4" t="s">
        <v>35</v>
      </c>
      <c r="F8" s="4" t="n">
        <v>4.2</v>
      </c>
      <c r="G8" s="4"/>
      <c r="H8" s="4" t="n">
        <v>24.638</v>
      </c>
      <c r="I8" s="4" t="n">
        <v>473</v>
      </c>
      <c r="J8" s="4" t="n">
        <v>0.224</v>
      </c>
      <c r="K8" s="6" t="b">
        <f aca="false">TRUE()</f>
        <v>1</v>
      </c>
      <c r="L8" s="6" t="b">
        <f aca="false">FALSE()</f>
        <v>0</v>
      </c>
      <c r="M8" s="6" t="b">
        <f aca="false">FALSE()</f>
        <v>0</v>
      </c>
      <c r="N8" s="6" t="b">
        <f aca="false">FALSE()</f>
        <v>0</v>
      </c>
      <c r="O8" s="4" t="n">
        <v>4</v>
      </c>
      <c r="P8" s="4" t="n">
        <v>0.96</v>
      </c>
      <c r="Q8" s="4" t="s">
        <v>59</v>
      </c>
      <c r="R8" s="4"/>
      <c r="S8" s="4"/>
    </row>
    <row r="9" customFormat="false" ht="15" hidden="false" customHeight="false" outlineLevel="0" collapsed="false">
      <c r="A9" s="4" t="s">
        <v>60</v>
      </c>
      <c r="B9" s="4" t="s">
        <v>32</v>
      </c>
      <c r="C9" s="5" t="s">
        <v>61</v>
      </c>
      <c r="D9" s="5" t="s">
        <v>62</v>
      </c>
      <c r="E9" s="4" t="s">
        <v>48</v>
      </c>
      <c r="F9" s="4" t="n">
        <v>4.3</v>
      </c>
      <c r="G9" s="4"/>
      <c r="H9" s="4" t="n">
        <v>15.429</v>
      </c>
      <c r="I9" s="4" t="n">
        <v>1471</v>
      </c>
      <c r="J9" s="4" t="n">
        <v>0.019</v>
      </c>
      <c r="K9" s="6" t="b">
        <f aca="false">FALSE()</f>
        <v>0</v>
      </c>
      <c r="L9" s="6" t="b">
        <f aca="false">TRUE()</f>
        <v>1</v>
      </c>
      <c r="M9" s="6" t="b">
        <f aca="false">TRUE()</f>
        <v>1</v>
      </c>
      <c r="N9" s="6" t="b">
        <f aca="false">FALSE()</f>
        <v>0</v>
      </c>
      <c r="O9" s="4" t="n">
        <v>3</v>
      </c>
      <c r="P9" s="4" t="n">
        <v>0.939</v>
      </c>
      <c r="Q9" s="4" t="s">
        <v>63</v>
      </c>
      <c r="R9" s="4"/>
      <c r="S9" s="4"/>
    </row>
    <row r="10" customFormat="false" ht="15" hidden="false" customHeight="false" outlineLevel="0" collapsed="false">
      <c r="A10" s="4" t="s">
        <v>64</v>
      </c>
      <c r="B10" s="4" t="s">
        <v>42</v>
      </c>
      <c r="C10" s="4"/>
      <c r="D10" s="4"/>
      <c r="E10" s="4" t="s">
        <v>48</v>
      </c>
      <c r="F10" s="4" t="n">
        <v>4</v>
      </c>
      <c r="G10" s="4"/>
      <c r="H10" s="4" t="n">
        <v>7.732</v>
      </c>
      <c r="I10" s="4" t="n">
        <v>7921</v>
      </c>
      <c r="J10" s="4"/>
      <c r="K10" s="6" t="b">
        <f aca="false">FALSE()</f>
        <v>0</v>
      </c>
      <c r="L10" s="6" t="b">
        <f aca="false">FALSE()</f>
        <v>0</v>
      </c>
      <c r="M10" s="6" t="b">
        <f aca="false">TRUE()</f>
        <v>1</v>
      </c>
      <c r="N10" s="6" t="b">
        <f aca="false">FALSE()</f>
        <v>0</v>
      </c>
      <c r="O10" s="4" t="n">
        <v>3</v>
      </c>
      <c r="P10" s="4" t="n">
        <v>0.908</v>
      </c>
      <c r="Q10" s="4" t="s">
        <v>65</v>
      </c>
      <c r="R10" s="4"/>
      <c r="S10" s="4"/>
    </row>
    <row r="11" customFormat="false" ht="15" hidden="false" customHeight="false" outlineLevel="0" collapsed="false">
      <c r="A11" s="4" t="s">
        <v>66</v>
      </c>
      <c r="B11" s="4" t="s">
        <v>32</v>
      </c>
      <c r="C11" s="5" t="s">
        <v>67</v>
      </c>
      <c r="D11" s="5" t="s">
        <v>68</v>
      </c>
      <c r="E11" s="4" t="s">
        <v>35</v>
      </c>
      <c r="F11" s="4" t="n">
        <v>4.077</v>
      </c>
      <c r="G11" s="4"/>
      <c r="H11" s="4" t="n">
        <v>25.568</v>
      </c>
      <c r="I11" s="4" t="n">
        <v>459</v>
      </c>
      <c r="J11" s="4" t="n">
        <v>0.515</v>
      </c>
      <c r="K11" s="6" t="b">
        <f aca="false">TRUE()</f>
        <v>1</v>
      </c>
      <c r="L11" s="6" t="b">
        <f aca="false">FALSE()</f>
        <v>0</v>
      </c>
      <c r="M11" s="6" t="b">
        <f aca="false">FALSE()</f>
        <v>0</v>
      </c>
      <c r="N11" s="6" t="b">
        <f aca="false">FALSE()</f>
        <v>0</v>
      </c>
      <c r="O11" s="4" t="n">
        <v>4</v>
      </c>
      <c r="P11" s="4" t="n">
        <v>0.885</v>
      </c>
      <c r="Q11" s="4" t="s">
        <v>69</v>
      </c>
      <c r="R11" s="4"/>
      <c r="S11" s="4"/>
    </row>
    <row r="12" customFormat="false" ht="15" hidden="false" customHeight="false" outlineLevel="0" collapsed="false">
      <c r="A12" s="4" t="s">
        <v>70</v>
      </c>
      <c r="B12" s="4" t="s">
        <v>42</v>
      </c>
      <c r="C12" s="4"/>
      <c r="D12" s="4"/>
      <c r="E12" s="4" t="s">
        <v>48</v>
      </c>
      <c r="F12" s="4" t="n">
        <v>4.4</v>
      </c>
      <c r="G12" s="4"/>
      <c r="H12" s="4" t="n">
        <v>62.857</v>
      </c>
      <c r="I12" s="4" t="n">
        <v>864</v>
      </c>
      <c r="J12" s="4"/>
      <c r="K12" s="6" t="b">
        <f aca="false">FALSE()</f>
        <v>0</v>
      </c>
      <c r="L12" s="6" t="b">
        <f aca="false">FALSE()</f>
        <v>0</v>
      </c>
      <c r="M12" s="6" t="b">
        <f aca="false">FALSE()</f>
        <v>0</v>
      </c>
      <c r="N12" s="6" t="b">
        <f aca="false">TRUE()</f>
        <v>1</v>
      </c>
      <c r="O12" s="4" t="n">
        <v>3</v>
      </c>
      <c r="P12" s="4" t="n">
        <v>0.82</v>
      </c>
      <c r="Q12" s="4" t="s">
        <v>71</v>
      </c>
      <c r="R12" s="4"/>
      <c r="S12" s="4"/>
    </row>
    <row r="13" customFormat="false" ht="15" hidden="false" customHeight="false" outlineLevel="0" collapsed="false">
      <c r="A13" s="4" t="s">
        <v>72</v>
      </c>
      <c r="B13" s="4" t="s">
        <v>32</v>
      </c>
      <c r="C13" s="5" t="s">
        <v>73</v>
      </c>
      <c r="D13" s="5" t="s">
        <v>74</v>
      </c>
      <c r="E13" s="4" t="s">
        <v>75</v>
      </c>
      <c r="F13" s="4" t="n">
        <v>4.083</v>
      </c>
      <c r="G13" s="4"/>
      <c r="H13" s="4" t="n">
        <v>29.53</v>
      </c>
      <c r="I13" s="4" t="n">
        <v>728</v>
      </c>
      <c r="J13" s="4" t="n">
        <v>0.302</v>
      </c>
      <c r="K13" s="6" t="b">
        <f aca="false">TRUE()</f>
        <v>1</v>
      </c>
      <c r="L13" s="6" t="b">
        <f aca="false">TRUE()</f>
        <v>1</v>
      </c>
      <c r="M13" s="6" t="b">
        <f aca="false">FALSE()</f>
        <v>0</v>
      </c>
      <c r="N13" s="6" t="b">
        <f aca="false">FALSE()</f>
        <v>0</v>
      </c>
      <c r="O13" s="4" t="n">
        <v>4</v>
      </c>
      <c r="P13" s="4" t="n">
        <v>0.795</v>
      </c>
      <c r="Q13" s="4" t="s">
        <v>76</v>
      </c>
      <c r="R13" s="4"/>
      <c r="S13" s="4"/>
    </row>
    <row r="14" customFormat="false" ht="15" hidden="false" customHeight="false" outlineLevel="0" collapsed="false">
      <c r="A14" s="4" t="s">
        <v>77</v>
      </c>
      <c r="B14" s="4" t="s">
        <v>32</v>
      </c>
      <c r="C14" s="5" t="s">
        <v>78</v>
      </c>
      <c r="D14" s="5" t="s">
        <v>79</v>
      </c>
      <c r="E14" s="4" t="s">
        <v>35</v>
      </c>
      <c r="F14" s="4" t="n">
        <v>3.5</v>
      </c>
      <c r="G14" s="4"/>
      <c r="H14" s="4" t="n">
        <v>25.893</v>
      </c>
      <c r="I14" s="4" t="n">
        <v>2099</v>
      </c>
      <c r="J14" s="4" t="n">
        <v>0.377</v>
      </c>
      <c r="K14" s="6" t="b">
        <f aca="false">FALSE()</f>
        <v>0</v>
      </c>
      <c r="L14" s="6" t="b">
        <f aca="false">FALSE()</f>
        <v>0</v>
      </c>
      <c r="M14" s="6" t="b">
        <f aca="false">TRUE()</f>
        <v>1</v>
      </c>
      <c r="N14" s="6" t="b">
        <f aca="false">FALSE()</f>
        <v>0</v>
      </c>
      <c r="O14" s="4" t="n">
        <v>3</v>
      </c>
      <c r="P14" s="4" t="n">
        <v>0.772</v>
      </c>
      <c r="Q14" s="4" t="s">
        <v>80</v>
      </c>
      <c r="R14" s="4"/>
      <c r="S14" s="4"/>
    </row>
    <row r="15" customFormat="false" ht="15" hidden="false" customHeight="false" outlineLevel="0" collapsed="false">
      <c r="A15" s="4" t="s">
        <v>81</v>
      </c>
      <c r="B15" s="4" t="s">
        <v>32</v>
      </c>
      <c r="C15" s="5" t="s">
        <v>82</v>
      </c>
      <c r="D15" s="5" t="s">
        <v>83</v>
      </c>
      <c r="E15" s="4" t="s">
        <v>48</v>
      </c>
      <c r="F15" s="4" t="n">
        <v>4.1</v>
      </c>
      <c r="G15" s="4"/>
      <c r="H15" s="4" t="n">
        <v>16.667</v>
      </c>
      <c r="I15" s="4" t="n">
        <v>907</v>
      </c>
      <c r="J15" s="4" t="n">
        <v>0.352</v>
      </c>
      <c r="K15" s="6" t="b">
        <f aca="false">FALSE()</f>
        <v>0</v>
      </c>
      <c r="L15" s="6" t="b">
        <f aca="false">TRUE()</f>
        <v>1</v>
      </c>
      <c r="M15" s="6" t="b">
        <f aca="false">TRUE()</f>
        <v>1</v>
      </c>
      <c r="N15" s="6" t="b">
        <f aca="false">FALSE()</f>
        <v>0</v>
      </c>
      <c r="O15" s="4" t="n">
        <v>3</v>
      </c>
      <c r="P15" s="4" t="n">
        <v>0.756</v>
      </c>
      <c r="Q15" s="4" t="s">
        <v>84</v>
      </c>
      <c r="R15" s="4"/>
      <c r="S15" s="4"/>
    </row>
    <row r="16" customFormat="false" ht="15" hidden="false" customHeight="false" outlineLevel="0" collapsed="false">
      <c r="A16" s="4" t="s">
        <v>85</v>
      </c>
      <c r="B16" s="4" t="s">
        <v>32</v>
      </c>
      <c r="C16" s="5" t="s">
        <v>86</v>
      </c>
      <c r="D16" s="5" t="s">
        <v>87</v>
      </c>
      <c r="E16" s="4" t="s">
        <v>48</v>
      </c>
      <c r="F16" s="4" t="n">
        <v>4.182</v>
      </c>
      <c r="G16" s="4"/>
      <c r="H16" s="4" t="n">
        <v>16.86</v>
      </c>
      <c r="I16" s="4" t="n">
        <v>591</v>
      </c>
      <c r="J16" s="4" t="n">
        <v>0.153</v>
      </c>
      <c r="K16" s="6" t="b">
        <f aca="false">FALSE()</f>
        <v>0</v>
      </c>
      <c r="L16" s="6" t="b">
        <f aca="false">FALSE()</f>
        <v>0</v>
      </c>
      <c r="M16" s="6" t="b">
        <f aca="false">FALSE()</f>
        <v>0</v>
      </c>
      <c r="N16" s="6" t="b">
        <f aca="false">FALSE()</f>
        <v>0</v>
      </c>
      <c r="O16" s="4" t="n">
        <v>4</v>
      </c>
      <c r="P16" s="4" t="n">
        <v>0.741</v>
      </c>
      <c r="Q16" s="4" t="s">
        <v>88</v>
      </c>
      <c r="R16" s="4"/>
      <c r="S16" s="4"/>
    </row>
    <row r="17" customFormat="false" ht="15" hidden="false" customHeight="false" outlineLevel="0" collapsed="false">
      <c r="A17" s="4" t="s">
        <v>89</v>
      </c>
      <c r="B17" s="4" t="s">
        <v>32</v>
      </c>
      <c r="C17" s="5" t="s">
        <v>90</v>
      </c>
      <c r="D17" s="5" t="s">
        <v>91</v>
      </c>
      <c r="E17" s="4" t="s">
        <v>92</v>
      </c>
      <c r="F17" s="4" t="n">
        <v>4</v>
      </c>
      <c r="G17" s="4"/>
      <c r="H17" s="4" t="n">
        <v>23.664</v>
      </c>
      <c r="I17" s="4" t="n">
        <v>1446</v>
      </c>
      <c r="J17" s="4" t="n">
        <v>0.066</v>
      </c>
      <c r="K17" s="6" t="b">
        <f aca="false">FALSE()</f>
        <v>0</v>
      </c>
      <c r="L17" s="6" t="b">
        <f aca="false">FALSE()</f>
        <v>0</v>
      </c>
      <c r="M17" s="6" t="b">
        <f aca="false">TRUE()</f>
        <v>1</v>
      </c>
      <c r="N17" s="6" t="b">
        <f aca="false">FALSE()</f>
        <v>0</v>
      </c>
      <c r="O17" s="4" t="n">
        <v>3</v>
      </c>
      <c r="P17" s="4" t="n">
        <v>0.725</v>
      </c>
      <c r="Q17" s="4" t="s">
        <v>93</v>
      </c>
      <c r="R17" s="4"/>
      <c r="S17" s="4"/>
    </row>
    <row r="18" customFormat="false" ht="15" hidden="false" customHeight="false" outlineLevel="0" collapsed="false">
      <c r="A18" s="4" t="s">
        <v>94</v>
      </c>
      <c r="B18" s="4" t="s">
        <v>32</v>
      </c>
      <c r="C18" s="5" t="s">
        <v>95</v>
      </c>
      <c r="D18" s="5" t="s">
        <v>96</v>
      </c>
      <c r="E18" s="4" t="s">
        <v>48</v>
      </c>
      <c r="F18" s="4" t="n">
        <v>4.3</v>
      </c>
      <c r="G18" s="4" t="n">
        <v>4.077</v>
      </c>
      <c r="H18" s="4" t="n">
        <v>27.397</v>
      </c>
      <c r="I18" s="4" t="n">
        <v>307</v>
      </c>
      <c r="J18" s="4" t="n">
        <v>0.479</v>
      </c>
      <c r="K18" s="6" t="b">
        <f aca="false">FALSE()</f>
        <v>0</v>
      </c>
      <c r="L18" s="6" t="b">
        <f aca="false">FALSE()</f>
        <v>0</v>
      </c>
      <c r="M18" s="6" t="b">
        <f aca="false">FALSE()</f>
        <v>0</v>
      </c>
      <c r="N18" s="6" t="b">
        <f aca="false">FALSE()</f>
        <v>0</v>
      </c>
      <c r="O18" s="4" t="n">
        <v>3</v>
      </c>
      <c r="P18" s="4" t="n">
        <v>0.715</v>
      </c>
      <c r="Q18" s="4" t="s">
        <v>97</v>
      </c>
      <c r="R18" s="4"/>
      <c r="S18" s="4"/>
    </row>
    <row r="19" customFormat="false" ht="15" hidden="false" customHeight="false" outlineLevel="0" collapsed="false">
      <c r="A19" s="4" t="s">
        <v>98</v>
      </c>
      <c r="B19" s="4" t="s">
        <v>32</v>
      </c>
      <c r="C19" s="5" t="s">
        <v>99</v>
      </c>
      <c r="D19" s="5" t="s">
        <v>100</v>
      </c>
      <c r="E19" s="4" t="s">
        <v>35</v>
      </c>
      <c r="F19" s="4" t="n">
        <v>3.9</v>
      </c>
      <c r="G19" s="4" t="n">
        <v>3.429</v>
      </c>
      <c r="H19" s="4" t="n">
        <v>20.29</v>
      </c>
      <c r="I19" s="4" t="n">
        <v>280</v>
      </c>
      <c r="J19" s="4" t="n">
        <v>0.727</v>
      </c>
      <c r="K19" s="6" t="b">
        <f aca="false">TRUE()</f>
        <v>1</v>
      </c>
      <c r="L19" s="6" t="b">
        <f aca="false">TRUE()</f>
        <v>1</v>
      </c>
      <c r="M19" s="6" t="b">
        <f aca="false">FALSE()</f>
        <v>0</v>
      </c>
      <c r="N19" s="6" t="b">
        <f aca="false">FALSE()</f>
        <v>0</v>
      </c>
      <c r="O19" s="4" t="n">
        <v>4</v>
      </c>
      <c r="P19" s="4" t="n">
        <v>0.714</v>
      </c>
      <c r="Q19" s="4" t="s">
        <v>101</v>
      </c>
      <c r="R19" s="4"/>
      <c r="S19" s="4"/>
    </row>
    <row r="20" customFormat="false" ht="15" hidden="false" customHeight="false" outlineLevel="0" collapsed="false">
      <c r="A20" s="4" t="s">
        <v>102</v>
      </c>
      <c r="B20" s="4" t="s">
        <v>42</v>
      </c>
      <c r="C20" s="4"/>
      <c r="D20" s="4"/>
      <c r="E20" s="4" t="s">
        <v>35</v>
      </c>
      <c r="F20" s="4" t="n">
        <v>4.636</v>
      </c>
      <c r="G20" s="4" t="n">
        <v>3.455</v>
      </c>
      <c r="H20" s="4" t="n">
        <v>29.605</v>
      </c>
      <c r="I20" s="4" t="n">
        <v>25</v>
      </c>
      <c r="J20" s="4"/>
      <c r="K20" s="6" t="b">
        <f aca="false">TRUE()</f>
        <v>1</v>
      </c>
      <c r="L20" s="6" t="b">
        <f aca="false">FALSE()</f>
        <v>0</v>
      </c>
      <c r="M20" s="6" t="b">
        <f aca="false">FALSE()</f>
        <v>0</v>
      </c>
      <c r="N20" s="6" t="b">
        <f aca="false">FALSE()</f>
        <v>0</v>
      </c>
      <c r="O20" s="4" t="n">
        <v>4</v>
      </c>
      <c r="P20" s="4" t="n">
        <v>0.69</v>
      </c>
      <c r="Q20" s="4" t="s">
        <v>103</v>
      </c>
      <c r="R20" s="4"/>
      <c r="S20" s="4"/>
    </row>
    <row r="21" customFormat="false" ht="15" hidden="false" customHeight="false" outlineLevel="0" collapsed="false">
      <c r="A21" s="4" t="s">
        <v>104</v>
      </c>
      <c r="B21" s="4" t="s">
        <v>32</v>
      </c>
      <c r="C21" s="5" t="s">
        <v>105</v>
      </c>
      <c r="D21" s="5" t="s">
        <v>106</v>
      </c>
      <c r="E21" s="4" t="s">
        <v>35</v>
      </c>
      <c r="F21" s="4" t="n">
        <v>4.077</v>
      </c>
      <c r="G21" s="4" t="n">
        <v>3.733</v>
      </c>
      <c r="H21" s="4" t="n">
        <v>17.703</v>
      </c>
      <c r="I21" s="4" t="n">
        <v>102</v>
      </c>
      <c r="J21" s="4" t="n">
        <v>0.695</v>
      </c>
      <c r="K21" s="6" t="b">
        <f aca="false">TRUE()</f>
        <v>1</v>
      </c>
      <c r="L21" s="6" t="b">
        <f aca="false">FALSE()</f>
        <v>0</v>
      </c>
      <c r="M21" s="6" t="b">
        <f aca="false">FALSE()</f>
        <v>0</v>
      </c>
      <c r="N21" s="6" t="b">
        <f aca="false">FALSE()</f>
        <v>0</v>
      </c>
      <c r="O21" s="4" t="n">
        <v>6</v>
      </c>
      <c r="P21" s="4" t="n">
        <v>0.671</v>
      </c>
      <c r="Q21" s="4" t="s">
        <v>107</v>
      </c>
      <c r="R21" s="4"/>
      <c r="S21" s="4"/>
    </row>
    <row r="22" customFormat="false" ht="15" hidden="false" customHeight="false" outlineLevel="0" collapsed="false">
      <c r="A22" s="4" t="s">
        <v>108</v>
      </c>
      <c r="B22" s="4" t="s">
        <v>32</v>
      </c>
      <c r="C22" s="5" t="s">
        <v>109</v>
      </c>
      <c r="D22" s="5" t="s">
        <v>110</v>
      </c>
      <c r="E22" s="4" t="s">
        <v>35</v>
      </c>
      <c r="F22" s="4" t="n">
        <v>4.091</v>
      </c>
      <c r="G22" s="4" t="n">
        <v>3.417</v>
      </c>
      <c r="H22" s="4" t="n">
        <v>29.71</v>
      </c>
      <c r="I22" s="4" t="n">
        <v>92</v>
      </c>
      <c r="J22" s="4" t="n">
        <v>0.455</v>
      </c>
      <c r="K22" s="6" t="b">
        <f aca="false">TRUE()</f>
        <v>1</v>
      </c>
      <c r="L22" s="6" t="b">
        <f aca="false">FALSE()</f>
        <v>0</v>
      </c>
      <c r="M22" s="6" t="b">
        <f aca="false">FALSE()</f>
        <v>0</v>
      </c>
      <c r="N22" s="6" t="b">
        <f aca="false">FALSE()</f>
        <v>0</v>
      </c>
      <c r="O22" s="4" t="n">
        <v>4</v>
      </c>
      <c r="P22" s="4" t="n">
        <v>0.664</v>
      </c>
      <c r="Q22" s="4" t="s">
        <v>111</v>
      </c>
      <c r="R22" s="4"/>
      <c r="S22" s="4"/>
    </row>
    <row r="23" customFormat="false" ht="15" hidden="false" customHeight="false" outlineLevel="0" collapsed="false">
      <c r="A23" s="4" t="s">
        <v>112</v>
      </c>
      <c r="B23" s="4" t="s">
        <v>32</v>
      </c>
      <c r="C23" s="5" t="s">
        <v>113</v>
      </c>
      <c r="D23" s="5" t="s">
        <v>114</v>
      </c>
      <c r="E23" s="4" t="s">
        <v>48</v>
      </c>
      <c r="F23" s="4" t="n">
        <v>4</v>
      </c>
      <c r="G23" s="4"/>
      <c r="H23" s="4" t="n">
        <v>52.778</v>
      </c>
      <c r="I23" s="4" t="n">
        <v>649</v>
      </c>
      <c r="J23" s="4" t="n">
        <v>0.352</v>
      </c>
      <c r="K23" s="6" t="b">
        <f aca="false">FALSE()</f>
        <v>0</v>
      </c>
      <c r="L23" s="6" t="b">
        <f aca="false">FALSE()</f>
        <v>0</v>
      </c>
      <c r="M23" s="6" t="b">
        <f aca="false">TRUE()</f>
        <v>1</v>
      </c>
      <c r="N23" s="6" t="b">
        <f aca="false">FALSE()</f>
        <v>0</v>
      </c>
      <c r="O23" s="4" t="n">
        <v>3</v>
      </c>
      <c r="P23" s="4" t="n">
        <v>0.651</v>
      </c>
      <c r="Q23" s="4" t="s">
        <v>115</v>
      </c>
      <c r="R23" s="4"/>
      <c r="S23" s="4"/>
    </row>
    <row r="24" customFormat="false" ht="15" hidden="false" customHeight="false" outlineLevel="0" collapsed="false">
      <c r="A24" s="4" t="s">
        <v>116</v>
      </c>
      <c r="B24" s="4" t="s">
        <v>42</v>
      </c>
      <c r="C24" s="4"/>
      <c r="D24" s="4"/>
      <c r="E24" s="4" t="s">
        <v>43</v>
      </c>
      <c r="F24" s="4" t="n">
        <v>4.2</v>
      </c>
      <c r="G24" s="4" t="n">
        <v>3.333</v>
      </c>
      <c r="H24" s="4" t="n">
        <v>40.385</v>
      </c>
      <c r="I24" s="4" t="n">
        <v>40</v>
      </c>
      <c r="J24" s="4"/>
      <c r="K24" s="6" t="b">
        <f aca="false">TRUE()</f>
        <v>1</v>
      </c>
      <c r="L24" s="6" t="b">
        <f aca="false">FALSE()</f>
        <v>0</v>
      </c>
      <c r="M24" s="6" t="b">
        <f aca="false">FALSE()</f>
        <v>0</v>
      </c>
      <c r="N24" s="6" t="b">
        <f aca="false">FALSE()</f>
        <v>0</v>
      </c>
      <c r="O24" s="4" t="n">
        <v>4</v>
      </c>
      <c r="P24" s="4" t="n">
        <v>0.588</v>
      </c>
      <c r="Q24" s="4" t="s">
        <v>117</v>
      </c>
      <c r="R24" s="4"/>
      <c r="S24" s="4"/>
    </row>
    <row r="25" customFormat="false" ht="15" hidden="false" customHeight="false" outlineLevel="0" collapsed="false">
      <c r="A25" s="4" t="s">
        <v>118</v>
      </c>
      <c r="B25" s="4" t="s">
        <v>42</v>
      </c>
      <c r="C25" s="4"/>
      <c r="D25" s="4"/>
      <c r="E25" s="4" t="s">
        <v>43</v>
      </c>
      <c r="F25" s="4" t="n">
        <v>3.5</v>
      </c>
      <c r="G25" s="4"/>
      <c r="H25" s="4" t="n">
        <v>14.103</v>
      </c>
      <c r="I25" s="4" t="n">
        <v>638</v>
      </c>
      <c r="J25" s="4"/>
      <c r="K25" s="6" t="b">
        <f aca="false">FALSE()</f>
        <v>0</v>
      </c>
      <c r="L25" s="6" t="b">
        <f aca="false">FALSE()</f>
        <v>0</v>
      </c>
      <c r="M25" s="6" t="b">
        <f aca="false">FALSE()</f>
        <v>0</v>
      </c>
      <c r="N25" s="6" t="b">
        <f aca="false">TRUE()</f>
        <v>1</v>
      </c>
      <c r="O25" s="4" t="n">
        <v>2</v>
      </c>
      <c r="P25" s="4" t="n">
        <v>0.582</v>
      </c>
      <c r="Q25" s="4" t="s">
        <v>119</v>
      </c>
      <c r="R25" s="4"/>
      <c r="S25" s="4"/>
    </row>
    <row r="26" customFormat="false" ht="15" hidden="false" customHeight="false" outlineLevel="0" collapsed="false">
      <c r="A26" s="4" t="s">
        <v>120</v>
      </c>
      <c r="B26" s="4" t="s">
        <v>42</v>
      </c>
      <c r="C26" s="4"/>
      <c r="D26" s="4"/>
      <c r="E26" s="4" t="s">
        <v>48</v>
      </c>
      <c r="F26" s="4" t="n">
        <v>3.4</v>
      </c>
      <c r="G26" s="4"/>
      <c r="H26" s="4" t="n">
        <v>27.523</v>
      </c>
      <c r="I26" s="4" t="n">
        <v>8725</v>
      </c>
      <c r="J26" s="4"/>
      <c r="K26" s="6" t="b">
        <f aca="false">FALSE()</f>
        <v>0</v>
      </c>
      <c r="L26" s="6" t="b">
        <f aca="false">FALSE()</f>
        <v>0</v>
      </c>
      <c r="M26" s="6" t="b">
        <f aca="false">TRUE()</f>
        <v>1</v>
      </c>
      <c r="N26" s="6" t="b">
        <f aca="false">FALSE()</f>
        <v>0</v>
      </c>
      <c r="O26" s="4" t="n">
        <v>3</v>
      </c>
      <c r="P26" s="4" t="n">
        <v>0.578</v>
      </c>
      <c r="Q26" s="4" t="s">
        <v>121</v>
      </c>
      <c r="R26" s="4"/>
      <c r="S26" s="4"/>
    </row>
    <row r="27" customFormat="false" ht="15" hidden="false" customHeight="false" outlineLevel="0" collapsed="false">
      <c r="A27" s="4" t="s">
        <v>122</v>
      </c>
      <c r="B27" s="4" t="s">
        <v>32</v>
      </c>
      <c r="C27" s="5" t="s">
        <v>123</v>
      </c>
      <c r="D27" s="5" t="s">
        <v>124</v>
      </c>
      <c r="E27" s="4" t="s">
        <v>48</v>
      </c>
      <c r="F27" s="4" t="n">
        <v>3.9</v>
      </c>
      <c r="G27" s="4"/>
      <c r="H27" s="4" t="n">
        <v>34.821</v>
      </c>
      <c r="I27" s="4" t="n">
        <v>565</v>
      </c>
      <c r="J27" s="4" t="n">
        <v>0.474</v>
      </c>
      <c r="K27" s="6" t="b">
        <f aca="false">TRUE()</f>
        <v>1</v>
      </c>
      <c r="L27" s="6" t="b">
        <f aca="false">FALSE()</f>
        <v>0</v>
      </c>
      <c r="M27" s="6" t="b">
        <f aca="false">FALSE()</f>
        <v>0</v>
      </c>
      <c r="N27" s="6" t="b">
        <f aca="false">FALSE()</f>
        <v>0</v>
      </c>
      <c r="O27" s="4" t="n">
        <v>4</v>
      </c>
      <c r="P27" s="4" t="n">
        <v>0.574</v>
      </c>
      <c r="Q27" s="4" t="s">
        <v>125</v>
      </c>
      <c r="R27" s="4"/>
      <c r="S27" s="4"/>
    </row>
    <row r="28" customFormat="false" ht="15" hidden="false" customHeight="false" outlineLevel="0" collapsed="false">
      <c r="A28" s="4" t="s">
        <v>126</v>
      </c>
      <c r="B28" s="4" t="s">
        <v>42</v>
      </c>
      <c r="C28" s="4"/>
      <c r="D28" s="4"/>
      <c r="E28" s="4" t="s">
        <v>43</v>
      </c>
      <c r="F28" s="4" t="n">
        <v>4.3</v>
      </c>
      <c r="G28" s="4" t="n">
        <v>2.905</v>
      </c>
      <c r="H28" s="4" t="n">
        <v>26.25</v>
      </c>
      <c r="I28" s="4" t="n">
        <v>24</v>
      </c>
      <c r="J28" s="4"/>
      <c r="K28" s="6" t="b">
        <f aca="false">TRUE()</f>
        <v>1</v>
      </c>
      <c r="L28" s="6" t="b">
        <f aca="false">FALSE()</f>
        <v>0</v>
      </c>
      <c r="M28" s="6" t="b">
        <f aca="false">FALSE()</f>
        <v>0</v>
      </c>
      <c r="N28" s="6" t="b">
        <f aca="false">FALSE()</f>
        <v>0</v>
      </c>
      <c r="O28" s="4" t="n">
        <v>4</v>
      </c>
      <c r="P28" s="4" t="n">
        <v>0.572</v>
      </c>
      <c r="Q28" s="4" t="s">
        <v>127</v>
      </c>
      <c r="R28" s="4"/>
      <c r="S28" s="4"/>
    </row>
    <row r="29" customFormat="false" ht="15" hidden="false" customHeight="false" outlineLevel="0" collapsed="false">
      <c r="A29" s="4" t="s">
        <v>128</v>
      </c>
      <c r="B29" s="4" t="s">
        <v>32</v>
      </c>
      <c r="C29" s="5" t="s">
        <v>129</v>
      </c>
      <c r="D29" s="5" t="s">
        <v>130</v>
      </c>
      <c r="E29" s="4" t="s">
        <v>48</v>
      </c>
      <c r="F29" s="4" t="n">
        <v>3.5</v>
      </c>
      <c r="G29" s="4"/>
      <c r="H29" s="4" t="n">
        <v>18.11</v>
      </c>
      <c r="I29" s="4" t="n">
        <v>2652</v>
      </c>
      <c r="J29" s="4" t="n">
        <v>0.045</v>
      </c>
      <c r="K29" s="6" t="b">
        <f aca="false">FALSE()</f>
        <v>0</v>
      </c>
      <c r="L29" s="6" t="b">
        <f aca="false">FALSE()</f>
        <v>0</v>
      </c>
      <c r="M29" s="6" t="b">
        <f aca="false">TRUE()</f>
        <v>1</v>
      </c>
      <c r="N29" s="6" t="b">
        <f aca="false">FALSE()</f>
        <v>0</v>
      </c>
      <c r="O29" s="4" t="n">
        <v>3</v>
      </c>
      <c r="P29" s="4" t="n">
        <v>0.566</v>
      </c>
      <c r="Q29" s="4" t="s">
        <v>131</v>
      </c>
      <c r="R29" s="4"/>
      <c r="S29" s="4"/>
    </row>
    <row r="30" customFormat="false" ht="15" hidden="false" customHeight="false" outlineLevel="0" collapsed="false">
      <c r="A30" s="4" t="s">
        <v>132</v>
      </c>
      <c r="B30" s="4" t="s">
        <v>42</v>
      </c>
      <c r="C30" s="4"/>
      <c r="D30" s="4"/>
      <c r="E30" s="4" t="s">
        <v>43</v>
      </c>
      <c r="F30" s="4" t="n">
        <v>4.4</v>
      </c>
      <c r="G30" s="4" t="n">
        <v>2.385</v>
      </c>
      <c r="H30" s="4" t="n">
        <v>27.215</v>
      </c>
      <c r="I30" s="4" t="n">
        <v>13</v>
      </c>
      <c r="J30" s="4"/>
      <c r="K30" s="6" t="b">
        <f aca="false">TRUE()</f>
        <v>1</v>
      </c>
      <c r="L30" s="6" t="b">
        <f aca="false">FALSE()</f>
        <v>0</v>
      </c>
      <c r="M30" s="6" t="b">
        <f aca="false">FALSE()</f>
        <v>0</v>
      </c>
      <c r="N30" s="6" t="b">
        <f aca="false">FALSE()</f>
        <v>0</v>
      </c>
      <c r="O30" s="4" t="n">
        <v>4</v>
      </c>
      <c r="P30" s="4" t="n">
        <v>0.542</v>
      </c>
      <c r="Q30" s="4" t="s">
        <v>133</v>
      </c>
      <c r="R30" s="4"/>
      <c r="S30" s="4"/>
    </row>
    <row r="31" customFormat="false" ht="15" hidden="false" customHeight="false" outlineLevel="0" collapsed="false">
      <c r="A31" s="4" t="s">
        <v>134</v>
      </c>
      <c r="B31" s="4" t="s">
        <v>32</v>
      </c>
      <c r="C31" s="5" t="s">
        <v>135</v>
      </c>
      <c r="D31" s="5" t="s">
        <v>136</v>
      </c>
      <c r="E31" s="4" t="s">
        <v>75</v>
      </c>
      <c r="F31" s="4" t="n">
        <v>3.692</v>
      </c>
      <c r="G31" s="4"/>
      <c r="H31" s="4" t="n">
        <v>11.538</v>
      </c>
      <c r="I31" s="4" t="n">
        <v>471</v>
      </c>
      <c r="J31" s="4" t="n">
        <v>0.131</v>
      </c>
      <c r="K31" s="6" t="b">
        <f aca="false">FALSE()</f>
        <v>0</v>
      </c>
      <c r="L31" s="6" t="b">
        <f aca="false">FALSE()</f>
        <v>0</v>
      </c>
      <c r="M31" s="6" t="b">
        <f aca="false">TRUE()</f>
        <v>1</v>
      </c>
      <c r="N31" s="6" t="b">
        <f aca="false">FALSE()</f>
        <v>0</v>
      </c>
      <c r="O31" s="4" t="n">
        <v>3</v>
      </c>
      <c r="P31" s="4" t="n">
        <v>0.509</v>
      </c>
      <c r="Q31" s="4" t="s">
        <v>137</v>
      </c>
      <c r="R31" s="4"/>
      <c r="S31" s="4"/>
    </row>
    <row r="32" customFormat="false" ht="15" hidden="false" customHeight="false" outlineLevel="0" collapsed="false">
      <c r="A32" s="4" t="s">
        <v>138</v>
      </c>
      <c r="B32" s="4" t="s">
        <v>32</v>
      </c>
      <c r="C32" s="5" t="s">
        <v>139</v>
      </c>
      <c r="D32" s="5" t="s">
        <v>140</v>
      </c>
      <c r="E32" s="4" t="s">
        <v>48</v>
      </c>
      <c r="F32" s="4" t="n">
        <v>3.8</v>
      </c>
      <c r="G32" s="4"/>
      <c r="H32" s="4" t="n">
        <v>33.636</v>
      </c>
      <c r="I32" s="4" t="n">
        <v>527</v>
      </c>
      <c r="J32" s="4" t="n">
        <v>0.336</v>
      </c>
      <c r="K32" s="6" t="b">
        <f aca="false">TRUE()</f>
        <v>1</v>
      </c>
      <c r="L32" s="6" t="b">
        <f aca="false">FALSE()</f>
        <v>0</v>
      </c>
      <c r="M32" s="6" t="b">
        <f aca="false">FALSE()</f>
        <v>0</v>
      </c>
      <c r="N32" s="6" t="b">
        <f aca="false">FALSE()</f>
        <v>0</v>
      </c>
      <c r="O32" s="4" t="n">
        <v>4</v>
      </c>
      <c r="P32" s="4" t="n">
        <v>0.507</v>
      </c>
      <c r="Q32" s="4" t="s">
        <v>141</v>
      </c>
      <c r="R32" s="4"/>
      <c r="S32" s="4"/>
    </row>
    <row r="33" customFormat="false" ht="15" hidden="false" customHeight="false" outlineLevel="0" collapsed="false">
      <c r="A33" s="4" t="s">
        <v>142</v>
      </c>
      <c r="B33" s="4" t="s">
        <v>32</v>
      </c>
      <c r="C33" s="5" t="s">
        <v>143</v>
      </c>
      <c r="D33" s="5" t="s">
        <v>144</v>
      </c>
      <c r="E33" s="4" t="s">
        <v>75</v>
      </c>
      <c r="F33" s="4" t="n">
        <v>3.636</v>
      </c>
      <c r="G33" s="4"/>
      <c r="H33" s="4" t="n">
        <v>22</v>
      </c>
      <c r="I33" s="4" t="n">
        <v>497</v>
      </c>
      <c r="J33" s="4" t="n">
        <v>0.519</v>
      </c>
      <c r="K33" s="6" t="b">
        <f aca="false">TRUE()</f>
        <v>1</v>
      </c>
      <c r="L33" s="6" t="b">
        <f aca="false">TRUE()</f>
        <v>1</v>
      </c>
      <c r="M33" s="6" t="b">
        <f aca="false">FALSE()</f>
        <v>0</v>
      </c>
      <c r="N33" s="6" t="b">
        <f aca="false">FALSE()</f>
        <v>0</v>
      </c>
      <c r="O33" s="4" t="n">
        <v>4</v>
      </c>
      <c r="P33" s="4" t="n">
        <v>0.485</v>
      </c>
      <c r="Q33" s="4" t="s">
        <v>145</v>
      </c>
      <c r="R33" s="4"/>
      <c r="S33" s="4"/>
    </row>
    <row r="34" customFormat="false" ht="15" hidden="false" customHeight="false" outlineLevel="0" collapsed="false">
      <c r="A34" s="4" t="s">
        <v>146</v>
      </c>
      <c r="B34" s="4" t="s">
        <v>42</v>
      </c>
      <c r="C34" s="4"/>
      <c r="D34" s="4"/>
      <c r="E34" s="4" t="s">
        <v>43</v>
      </c>
      <c r="F34" s="4" t="n">
        <v>4.1</v>
      </c>
      <c r="G34" s="4" t="n">
        <v>1.818</v>
      </c>
      <c r="H34" s="4" t="n">
        <v>23.239</v>
      </c>
      <c r="I34" s="4" t="n">
        <v>27</v>
      </c>
      <c r="J34" s="4"/>
      <c r="K34" s="6" t="b">
        <f aca="false">TRUE()</f>
        <v>1</v>
      </c>
      <c r="L34" s="6" t="b">
        <f aca="false">FALSE()</f>
        <v>0</v>
      </c>
      <c r="M34" s="6" t="b">
        <f aca="false">FALSE()</f>
        <v>0</v>
      </c>
      <c r="N34" s="6" t="b">
        <f aca="false">FALSE()</f>
        <v>0</v>
      </c>
      <c r="O34" s="4" t="n">
        <v>4</v>
      </c>
      <c r="P34" s="4" t="n">
        <v>0.474</v>
      </c>
      <c r="Q34" s="4" t="s">
        <v>147</v>
      </c>
      <c r="R34" s="4"/>
      <c r="S34" s="4"/>
    </row>
    <row r="35" customFormat="false" ht="15" hidden="false" customHeight="false" outlineLevel="0" collapsed="false">
      <c r="A35" s="4" t="s">
        <v>148</v>
      </c>
      <c r="B35" s="4" t="s">
        <v>32</v>
      </c>
      <c r="C35" s="5" t="s">
        <v>149</v>
      </c>
      <c r="D35" s="5" t="s">
        <v>150</v>
      </c>
      <c r="E35" s="4" t="s">
        <v>75</v>
      </c>
      <c r="F35" s="4" t="n">
        <v>4.083</v>
      </c>
      <c r="G35" s="4" t="n">
        <v>1.929</v>
      </c>
      <c r="H35" s="4" t="n">
        <v>32.639</v>
      </c>
      <c r="I35" s="4" t="n">
        <v>68</v>
      </c>
      <c r="J35" s="4" t="n">
        <v>0.666</v>
      </c>
      <c r="K35" s="6" t="b">
        <f aca="false">FALSE()</f>
        <v>0</v>
      </c>
      <c r="L35" s="6" t="b">
        <f aca="false">TRUE()</f>
        <v>1</v>
      </c>
      <c r="M35" s="6" t="b">
        <f aca="false">FALSE()</f>
        <v>0</v>
      </c>
      <c r="N35" s="6" t="b">
        <f aca="false">FALSE()</f>
        <v>0</v>
      </c>
      <c r="O35" s="4" t="n">
        <v>3</v>
      </c>
      <c r="P35" s="4" t="n">
        <v>0.457</v>
      </c>
      <c r="Q35" s="4" t="s">
        <v>151</v>
      </c>
      <c r="R35" s="4"/>
      <c r="S35" s="4"/>
    </row>
    <row r="36" customFormat="false" ht="15" hidden="false" customHeight="false" outlineLevel="0" collapsed="false">
      <c r="A36" s="4" t="s">
        <v>152</v>
      </c>
      <c r="B36" s="4" t="s">
        <v>42</v>
      </c>
      <c r="C36" s="4"/>
      <c r="D36" s="4"/>
      <c r="E36" s="4" t="s">
        <v>48</v>
      </c>
      <c r="F36" s="4" t="n">
        <v>3.818</v>
      </c>
      <c r="G36" s="4"/>
      <c r="H36" s="4" t="n">
        <v>24.265</v>
      </c>
      <c r="I36" s="4" t="n">
        <v>498</v>
      </c>
      <c r="J36" s="4"/>
      <c r="K36" s="6" t="b">
        <f aca="false">FALSE()</f>
        <v>0</v>
      </c>
      <c r="L36" s="6" t="b">
        <f aca="false">TRUE()</f>
        <v>1</v>
      </c>
      <c r="M36" s="6" t="b">
        <f aca="false">TRUE()</f>
        <v>1</v>
      </c>
      <c r="N36" s="6" t="b">
        <f aca="false">FALSE()</f>
        <v>0</v>
      </c>
      <c r="O36" s="4" t="n">
        <v>3</v>
      </c>
      <c r="P36" s="4" t="n">
        <v>0.409</v>
      </c>
      <c r="Q36" s="4" t="s">
        <v>153</v>
      </c>
      <c r="R36" s="4"/>
      <c r="S36" s="4"/>
    </row>
    <row r="37" customFormat="false" ht="15" hidden="false" customHeight="false" outlineLevel="0" collapsed="false">
      <c r="A37" s="4" t="s">
        <v>154</v>
      </c>
      <c r="B37" s="4" t="s">
        <v>32</v>
      </c>
      <c r="C37" s="5" t="s">
        <v>155</v>
      </c>
      <c r="D37" s="5" t="s">
        <v>156</v>
      </c>
      <c r="E37" s="4" t="s">
        <v>75</v>
      </c>
      <c r="F37" s="4" t="n">
        <v>3.455</v>
      </c>
      <c r="G37" s="4"/>
      <c r="H37" s="4" t="n">
        <v>39.583</v>
      </c>
      <c r="I37" s="4" t="n">
        <v>564</v>
      </c>
      <c r="J37" s="4" t="n">
        <v>0.492</v>
      </c>
      <c r="K37" s="6" t="b">
        <f aca="false">TRUE()</f>
        <v>1</v>
      </c>
      <c r="L37" s="6" t="b">
        <f aca="false">FALSE()</f>
        <v>0</v>
      </c>
      <c r="M37" s="6" t="b">
        <f aca="false">FALSE()</f>
        <v>0</v>
      </c>
      <c r="N37" s="6" t="b">
        <f aca="false">FALSE()</f>
        <v>0</v>
      </c>
      <c r="O37" s="4" t="n">
        <v>4</v>
      </c>
      <c r="P37" s="4" t="n">
        <v>0.399</v>
      </c>
      <c r="Q37" s="4" t="s">
        <v>157</v>
      </c>
      <c r="R37" s="4"/>
      <c r="S37" s="4"/>
    </row>
    <row r="38" customFormat="false" ht="15" hidden="false" customHeight="false" outlineLevel="0" collapsed="false">
      <c r="A38" s="4" t="s">
        <v>158</v>
      </c>
      <c r="B38" s="4" t="s">
        <v>42</v>
      </c>
      <c r="C38" s="4"/>
      <c r="D38" s="4"/>
      <c r="E38" s="4" t="s">
        <v>48</v>
      </c>
      <c r="F38" s="4" t="n">
        <v>4.727</v>
      </c>
      <c r="G38" s="4" t="n">
        <v>1.091</v>
      </c>
      <c r="H38" s="4" t="n">
        <v>47.619</v>
      </c>
      <c r="I38" s="4" t="n">
        <v>12</v>
      </c>
      <c r="J38" s="4"/>
      <c r="K38" s="6" t="b">
        <f aca="false">FALSE()</f>
        <v>0</v>
      </c>
      <c r="L38" s="6" t="b">
        <f aca="false">FALSE()</f>
        <v>0</v>
      </c>
      <c r="M38" s="6" t="b">
        <f aca="false">TRUE()</f>
        <v>1</v>
      </c>
      <c r="N38" s="6" t="b">
        <f aca="false">FALSE()</f>
        <v>0</v>
      </c>
      <c r="O38" s="4" t="n">
        <v>3</v>
      </c>
      <c r="P38" s="4" t="n">
        <v>0.397</v>
      </c>
      <c r="Q38" s="4" t="s">
        <v>159</v>
      </c>
      <c r="R38" s="4"/>
      <c r="S38" s="4"/>
    </row>
    <row r="39" customFormat="false" ht="15" hidden="false" customHeight="false" outlineLevel="0" collapsed="false">
      <c r="A39" s="4" t="s">
        <v>160</v>
      </c>
      <c r="B39" s="4" t="s">
        <v>42</v>
      </c>
      <c r="C39" s="4"/>
      <c r="D39" s="4"/>
      <c r="E39" s="4" t="s">
        <v>75</v>
      </c>
      <c r="F39" s="4" t="n">
        <v>2.9</v>
      </c>
      <c r="G39" s="4"/>
      <c r="H39" s="4" t="n">
        <v>15.652</v>
      </c>
      <c r="I39" s="4" t="n">
        <v>9870</v>
      </c>
      <c r="J39" s="4"/>
      <c r="K39" s="6" t="b">
        <f aca="false">FALSE()</f>
        <v>0</v>
      </c>
      <c r="L39" s="6" t="b">
        <f aca="false">FALSE()</f>
        <v>0</v>
      </c>
      <c r="M39" s="6" t="b">
        <f aca="false">TRUE()</f>
        <v>1</v>
      </c>
      <c r="N39" s="6" t="b">
        <f aca="false">FALSE()</f>
        <v>0</v>
      </c>
      <c r="O39" s="4" t="n">
        <v>3</v>
      </c>
      <c r="P39" s="4" t="n">
        <v>0.39</v>
      </c>
      <c r="Q39" s="4" t="s">
        <v>161</v>
      </c>
      <c r="R39" s="4"/>
      <c r="S39" s="4"/>
    </row>
    <row r="40" customFormat="false" ht="15" hidden="false" customHeight="false" outlineLevel="0" collapsed="false">
      <c r="A40" s="4" t="s">
        <v>162</v>
      </c>
      <c r="B40" s="4" t="s">
        <v>42</v>
      </c>
      <c r="C40" s="4"/>
      <c r="D40" s="4"/>
      <c r="E40" s="4" t="s">
        <v>35</v>
      </c>
      <c r="F40" s="4" t="n">
        <v>3.909</v>
      </c>
      <c r="G40" s="4" t="n">
        <v>3.8</v>
      </c>
      <c r="H40" s="4" t="n">
        <v>22.892</v>
      </c>
      <c r="I40" s="4" t="n">
        <v>47</v>
      </c>
      <c r="J40" s="4"/>
      <c r="K40" s="6" t="b">
        <f aca="false">FALSE()</f>
        <v>0</v>
      </c>
      <c r="L40" s="6" t="b">
        <f aca="false">FALSE()</f>
        <v>0</v>
      </c>
      <c r="M40" s="6" t="b">
        <f aca="false">TRUE()</f>
        <v>1</v>
      </c>
      <c r="N40" s="6" t="b">
        <f aca="false">FALSE()</f>
        <v>0</v>
      </c>
      <c r="O40" s="4" t="n">
        <v>3</v>
      </c>
      <c r="P40" s="4" t="n">
        <v>0.364</v>
      </c>
      <c r="Q40" s="4" t="s">
        <v>163</v>
      </c>
      <c r="R40" s="4"/>
      <c r="S40" s="4"/>
    </row>
    <row r="41" customFormat="false" ht="15" hidden="false" customHeight="false" outlineLevel="0" collapsed="false">
      <c r="A41" s="4" t="s">
        <v>164</v>
      </c>
      <c r="B41" s="4" t="s">
        <v>32</v>
      </c>
      <c r="C41" s="5" t="s">
        <v>165</v>
      </c>
      <c r="D41" s="5" t="s">
        <v>166</v>
      </c>
      <c r="E41" s="4" t="s">
        <v>92</v>
      </c>
      <c r="F41" s="4" t="n">
        <v>3.3</v>
      </c>
      <c r="G41" s="4"/>
      <c r="H41" s="4" t="n">
        <v>16.923</v>
      </c>
      <c r="I41" s="4" t="n">
        <v>1695</v>
      </c>
      <c r="J41" s="4" t="n">
        <v>0.15</v>
      </c>
      <c r="K41" s="6" t="b">
        <f aca="false">FALSE()</f>
        <v>0</v>
      </c>
      <c r="L41" s="6" t="b">
        <f aca="false">FALSE()</f>
        <v>0</v>
      </c>
      <c r="M41" s="6" t="b">
        <f aca="false">TRUE()</f>
        <v>1</v>
      </c>
      <c r="N41" s="6" t="b">
        <f aca="false">FALSE()</f>
        <v>0</v>
      </c>
      <c r="O41" s="4" t="n">
        <v>3</v>
      </c>
      <c r="P41" s="4" t="n">
        <v>0.347</v>
      </c>
      <c r="Q41" s="4" t="s">
        <v>167</v>
      </c>
      <c r="R41" s="4"/>
      <c r="S41" s="4"/>
    </row>
    <row r="42" customFormat="false" ht="15" hidden="false" customHeight="false" outlineLevel="0" collapsed="false">
      <c r="A42" s="4" t="s">
        <v>168</v>
      </c>
      <c r="B42" s="4" t="s">
        <v>32</v>
      </c>
      <c r="C42" s="5" t="s">
        <v>169</v>
      </c>
      <c r="D42" s="5" t="s">
        <v>170</v>
      </c>
      <c r="E42" s="4" t="s">
        <v>48</v>
      </c>
      <c r="F42" s="4" t="n">
        <v>3.3</v>
      </c>
      <c r="G42" s="4"/>
      <c r="H42" s="4" t="n">
        <v>19.38</v>
      </c>
      <c r="I42" s="4" t="n">
        <v>970</v>
      </c>
      <c r="J42" s="4" t="n">
        <v>0.066</v>
      </c>
      <c r="K42" s="6" t="b">
        <f aca="false">FALSE()</f>
        <v>0</v>
      </c>
      <c r="L42" s="6" t="b">
        <f aca="false">FALSE()</f>
        <v>0</v>
      </c>
      <c r="M42" s="6" t="b">
        <f aca="false">TRUE()</f>
        <v>1</v>
      </c>
      <c r="N42" s="6" t="b">
        <f aca="false">FALSE()</f>
        <v>0</v>
      </c>
      <c r="O42" s="4" t="n">
        <v>3</v>
      </c>
      <c r="P42" s="4" t="n">
        <v>0.308</v>
      </c>
      <c r="Q42" s="4" t="s">
        <v>171</v>
      </c>
      <c r="R42" s="4"/>
      <c r="S42" s="4"/>
    </row>
    <row r="43" customFormat="false" ht="15" hidden="false" customHeight="false" outlineLevel="0" collapsed="false">
      <c r="A43" s="4" t="s">
        <v>172</v>
      </c>
      <c r="B43" s="4" t="s">
        <v>42</v>
      </c>
      <c r="C43" s="4"/>
      <c r="D43" s="4"/>
      <c r="E43" s="4" t="s">
        <v>43</v>
      </c>
      <c r="F43" s="4" t="n">
        <v>3.7</v>
      </c>
      <c r="G43" s="4" t="n">
        <v>3.294</v>
      </c>
      <c r="H43" s="4" t="n">
        <v>25.191</v>
      </c>
      <c r="I43" s="4" t="n">
        <v>41</v>
      </c>
      <c r="J43" s="4"/>
      <c r="K43" s="6" t="b">
        <f aca="false">TRUE()</f>
        <v>1</v>
      </c>
      <c r="L43" s="6" t="b">
        <f aca="false">TRUE()</f>
        <v>1</v>
      </c>
      <c r="M43" s="6" t="b">
        <f aca="false">FALSE()</f>
        <v>0</v>
      </c>
      <c r="N43" s="6" t="b">
        <f aca="false">FALSE()</f>
        <v>0</v>
      </c>
      <c r="O43" s="4" t="n">
        <v>4</v>
      </c>
      <c r="P43" s="4" t="n">
        <v>0.305</v>
      </c>
      <c r="Q43" s="4" t="s">
        <v>173</v>
      </c>
      <c r="R43" s="4"/>
      <c r="S43" s="4"/>
    </row>
    <row r="44" customFormat="false" ht="15" hidden="false" customHeight="false" outlineLevel="0" collapsed="false">
      <c r="A44" s="4" t="s">
        <v>174</v>
      </c>
      <c r="B44" s="4" t="s">
        <v>42</v>
      </c>
      <c r="C44" s="4"/>
      <c r="D44" s="4"/>
      <c r="E44" s="4" t="s">
        <v>43</v>
      </c>
      <c r="F44" s="4" t="n">
        <v>3.7</v>
      </c>
      <c r="G44" s="4" t="n">
        <v>3.778</v>
      </c>
      <c r="H44" s="4" t="n">
        <v>41.86</v>
      </c>
      <c r="I44" s="4" t="n">
        <v>38</v>
      </c>
      <c r="J44" s="4"/>
      <c r="K44" s="6" t="b">
        <f aca="false">TRUE()</f>
        <v>1</v>
      </c>
      <c r="L44" s="6" t="b">
        <f aca="false">TRUE()</f>
        <v>1</v>
      </c>
      <c r="M44" s="6" t="b">
        <f aca="false">FALSE()</f>
        <v>0</v>
      </c>
      <c r="N44" s="6" t="b">
        <f aca="false">FALSE()</f>
        <v>0</v>
      </c>
      <c r="O44" s="4" t="n">
        <v>4</v>
      </c>
      <c r="P44" s="4" t="n">
        <v>0.294</v>
      </c>
      <c r="Q44" s="4" t="s">
        <v>175</v>
      </c>
      <c r="R44" s="4"/>
      <c r="S44" s="4"/>
    </row>
    <row r="45" customFormat="false" ht="15" hidden="false" customHeight="false" outlineLevel="0" collapsed="false">
      <c r="A45" s="4" t="s">
        <v>176</v>
      </c>
      <c r="B45" s="4" t="s">
        <v>32</v>
      </c>
      <c r="C45" s="5" t="s">
        <v>177</v>
      </c>
      <c r="D45" s="5" t="s">
        <v>178</v>
      </c>
      <c r="E45" s="4" t="s">
        <v>43</v>
      </c>
      <c r="F45" s="4" t="n">
        <v>2.833</v>
      </c>
      <c r="G45" s="4"/>
      <c r="H45" s="4" t="n">
        <v>25</v>
      </c>
      <c r="I45" s="4" t="n">
        <v>583</v>
      </c>
      <c r="J45" s="4" t="n">
        <v>0.003</v>
      </c>
      <c r="K45" s="6" t="b">
        <f aca="false">FALSE()</f>
        <v>0</v>
      </c>
      <c r="L45" s="6" t="b">
        <f aca="false">FALSE()</f>
        <v>0</v>
      </c>
      <c r="M45" s="6" t="b">
        <f aca="false">TRUE()</f>
        <v>1</v>
      </c>
      <c r="N45" s="6" t="b">
        <f aca="false">FALSE()</f>
        <v>0</v>
      </c>
      <c r="O45" s="4" t="n">
        <v>3</v>
      </c>
      <c r="P45" s="4" t="n">
        <v>0.288</v>
      </c>
      <c r="Q45" s="4" t="s">
        <v>179</v>
      </c>
      <c r="R45" s="4"/>
      <c r="S45" s="4"/>
    </row>
    <row r="46" customFormat="false" ht="15" hidden="false" customHeight="false" outlineLevel="0" collapsed="false">
      <c r="A46" s="4" t="s">
        <v>180</v>
      </c>
      <c r="B46" s="4" t="s">
        <v>42</v>
      </c>
      <c r="C46" s="4"/>
      <c r="D46" s="4"/>
      <c r="E46" s="4" t="s">
        <v>48</v>
      </c>
      <c r="F46" s="4" t="n">
        <v>4.333</v>
      </c>
      <c r="G46" s="4" t="n">
        <v>3.3</v>
      </c>
      <c r="H46" s="4" t="n">
        <v>22.115</v>
      </c>
      <c r="I46" s="4" t="n">
        <v>27</v>
      </c>
      <c r="J46" s="4"/>
      <c r="K46" s="6" t="b">
        <f aca="false">TRUE()</f>
        <v>1</v>
      </c>
      <c r="L46" s="6" t="b">
        <f aca="false">FALSE()</f>
        <v>0</v>
      </c>
      <c r="M46" s="6" t="b">
        <f aca="false">FALSE()</f>
        <v>0</v>
      </c>
      <c r="N46" s="6" t="b">
        <f aca="false">FALSE()</f>
        <v>0</v>
      </c>
      <c r="O46" s="4" t="n">
        <v>4</v>
      </c>
      <c r="P46" s="4" t="n">
        <v>0.288</v>
      </c>
      <c r="Q46" s="4" t="s">
        <v>181</v>
      </c>
      <c r="R46" s="4"/>
      <c r="S46" s="4"/>
    </row>
    <row r="47" customFormat="false" ht="15" hidden="false" customHeight="false" outlineLevel="0" collapsed="false">
      <c r="A47" s="4" t="s">
        <v>182</v>
      </c>
      <c r="B47" s="4" t="s">
        <v>42</v>
      </c>
      <c r="C47" s="4"/>
      <c r="D47" s="4"/>
      <c r="E47" s="4" t="s">
        <v>48</v>
      </c>
      <c r="F47" s="4" t="n">
        <v>4.364</v>
      </c>
      <c r="G47" s="4" t="n">
        <v>2.889</v>
      </c>
      <c r="H47" s="4" t="n">
        <v>27.922</v>
      </c>
      <c r="I47" s="4" t="n">
        <v>24</v>
      </c>
      <c r="J47" s="4"/>
      <c r="K47" s="6" t="b">
        <f aca="false">TRUE()</f>
        <v>1</v>
      </c>
      <c r="L47" s="6" t="b">
        <f aca="false">FALSE()</f>
        <v>0</v>
      </c>
      <c r="M47" s="6" t="b">
        <f aca="false">FALSE()</f>
        <v>0</v>
      </c>
      <c r="N47" s="6" t="b">
        <f aca="false">FALSE()</f>
        <v>0</v>
      </c>
      <c r="O47" s="4" t="n">
        <v>4</v>
      </c>
      <c r="P47" s="4" t="n">
        <v>0.288</v>
      </c>
      <c r="Q47" s="4" t="s">
        <v>183</v>
      </c>
      <c r="R47" s="4"/>
      <c r="S47" s="4"/>
    </row>
    <row r="48" customFormat="false" ht="15" hidden="false" customHeight="false" outlineLevel="0" collapsed="false">
      <c r="A48" s="4" t="s">
        <v>184</v>
      </c>
      <c r="B48" s="4" t="s">
        <v>42</v>
      </c>
      <c r="C48" s="4"/>
      <c r="D48" s="4"/>
      <c r="E48" s="4" t="s">
        <v>35</v>
      </c>
      <c r="F48" s="4" t="n">
        <v>4.2</v>
      </c>
      <c r="G48" s="4" t="n">
        <v>2</v>
      </c>
      <c r="H48" s="4" t="n">
        <v>31.967</v>
      </c>
      <c r="I48" s="4" t="n">
        <v>6</v>
      </c>
      <c r="J48" s="4"/>
      <c r="K48" s="6" t="b">
        <f aca="false">TRUE()</f>
        <v>1</v>
      </c>
      <c r="L48" s="6" t="b">
        <f aca="false">FALSE()</f>
        <v>0</v>
      </c>
      <c r="M48" s="6" t="b">
        <f aca="false">FALSE()</f>
        <v>0</v>
      </c>
      <c r="N48" s="6" t="b">
        <f aca="false">FALSE()</f>
        <v>0</v>
      </c>
      <c r="O48" s="4" t="n">
        <v>4</v>
      </c>
      <c r="P48" s="4" t="n">
        <v>0.237</v>
      </c>
      <c r="Q48" s="4" t="s">
        <v>185</v>
      </c>
      <c r="R48" s="4"/>
      <c r="S48" s="4"/>
    </row>
    <row r="49" customFormat="false" ht="15" hidden="false" customHeight="false" outlineLevel="0" collapsed="false">
      <c r="A49" s="4" t="s">
        <v>186</v>
      </c>
      <c r="B49" s="4" t="s">
        <v>42</v>
      </c>
      <c r="C49" s="4"/>
      <c r="D49" s="4"/>
      <c r="E49" s="4" t="s">
        <v>75</v>
      </c>
      <c r="F49" s="4" t="n">
        <v>4</v>
      </c>
      <c r="G49" s="4" t="n">
        <v>3.615</v>
      </c>
      <c r="H49" s="4" t="n">
        <v>18.293</v>
      </c>
      <c r="I49" s="4" t="n">
        <v>40</v>
      </c>
      <c r="J49" s="4"/>
      <c r="K49" s="6" t="b">
        <f aca="false">FALSE()</f>
        <v>0</v>
      </c>
      <c r="L49" s="6" t="b">
        <f aca="false">FALSE()</f>
        <v>0</v>
      </c>
      <c r="M49" s="6" t="b">
        <f aca="false">TRUE()</f>
        <v>1</v>
      </c>
      <c r="N49" s="6" t="b">
        <f aca="false">FALSE()</f>
        <v>0</v>
      </c>
      <c r="O49" s="4" t="n">
        <v>3</v>
      </c>
      <c r="P49" s="4" t="n">
        <v>0.233</v>
      </c>
      <c r="Q49" s="4" t="s">
        <v>187</v>
      </c>
      <c r="R49" s="4"/>
      <c r="S49" s="4"/>
    </row>
    <row r="50" customFormat="false" ht="15" hidden="false" customHeight="false" outlineLevel="0" collapsed="false">
      <c r="A50" s="4" t="s">
        <v>188</v>
      </c>
      <c r="B50" s="4" t="s">
        <v>42</v>
      </c>
      <c r="C50" s="4"/>
      <c r="D50" s="4"/>
      <c r="E50" s="4" t="s">
        <v>48</v>
      </c>
      <c r="F50" s="4" t="n">
        <v>4.455</v>
      </c>
      <c r="G50" s="4" t="n">
        <v>3.333</v>
      </c>
      <c r="H50" s="4" t="n">
        <v>21.91</v>
      </c>
      <c r="I50" s="4" t="n">
        <v>10</v>
      </c>
      <c r="J50" s="4"/>
      <c r="K50" s="6" t="b">
        <f aca="false">TRUE()</f>
        <v>1</v>
      </c>
      <c r="L50" s="6" t="b">
        <f aca="false">TRUE()</f>
        <v>1</v>
      </c>
      <c r="M50" s="6" t="b">
        <f aca="false">FALSE()</f>
        <v>0</v>
      </c>
      <c r="N50" s="6" t="b">
        <f aca="false">FALSE()</f>
        <v>0</v>
      </c>
      <c r="O50" s="4" t="n">
        <v>4</v>
      </c>
      <c r="P50" s="4" t="n">
        <v>0.215</v>
      </c>
      <c r="Q50" s="4" t="s">
        <v>189</v>
      </c>
      <c r="R50" s="4"/>
      <c r="S50" s="4"/>
    </row>
    <row r="51" customFormat="false" ht="15" hidden="false" customHeight="false" outlineLevel="0" collapsed="false">
      <c r="A51" s="4" t="s">
        <v>190</v>
      </c>
      <c r="B51" s="4" t="s">
        <v>32</v>
      </c>
      <c r="C51" s="5" t="s">
        <v>191</v>
      </c>
      <c r="D51" s="5" t="s">
        <v>192</v>
      </c>
      <c r="E51" s="4" t="s">
        <v>75</v>
      </c>
      <c r="F51" s="4" t="n">
        <v>3</v>
      </c>
      <c r="G51" s="4"/>
      <c r="H51" s="4" t="n">
        <v>32.292</v>
      </c>
      <c r="I51" s="4" t="n">
        <v>779</v>
      </c>
      <c r="J51" s="4" t="n">
        <v>0.037</v>
      </c>
      <c r="K51" s="6" t="b">
        <f aca="false">FALSE()</f>
        <v>0</v>
      </c>
      <c r="L51" s="6" t="b">
        <f aca="false">FALSE()</f>
        <v>0</v>
      </c>
      <c r="M51" s="6" t="b">
        <f aca="false">TRUE()</f>
        <v>1</v>
      </c>
      <c r="N51" s="6" t="b">
        <f aca="false">FALSE()</f>
        <v>0</v>
      </c>
      <c r="O51" s="4" t="n">
        <v>3</v>
      </c>
      <c r="P51" s="4" t="n">
        <v>0.185</v>
      </c>
      <c r="Q51" s="4" t="s">
        <v>193</v>
      </c>
      <c r="R51" s="4"/>
      <c r="S51" s="4"/>
    </row>
    <row r="52" customFormat="false" ht="15" hidden="false" customHeight="false" outlineLevel="0" collapsed="false">
      <c r="A52" s="4" t="s">
        <v>194</v>
      </c>
      <c r="B52" s="4" t="s">
        <v>42</v>
      </c>
      <c r="C52" s="4"/>
      <c r="D52" s="4"/>
      <c r="E52" s="4" t="s">
        <v>35</v>
      </c>
      <c r="F52" s="4" t="n">
        <v>3.6</v>
      </c>
      <c r="G52" s="4" t="n">
        <v>3.833</v>
      </c>
      <c r="H52" s="4" t="n">
        <v>24</v>
      </c>
      <c r="I52" s="4" t="n">
        <v>36</v>
      </c>
      <c r="J52" s="4"/>
      <c r="K52" s="6" t="b">
        <f aca="false">TRUE()</f>
        <v>1</v>
      </c>
      <c r="L52" s="6" t="b">
        <f aca="false">FALSE()</f>
        <v>0</v>
      </c>
      <c r="M52" s="6" t="b">
        <f aca="false">FALSE()</f>
        <v>0</v>
      </c>
      <c r="N52" s="6" t="b">
        <f aca="false">FALSE()</f>
        <v>0</v>
      </c>
      <c r="O52" s="4" t="n">
        <v>6</v>
      </c>
      <c r="P52" s="4" t="n">
        <v>0.15</v>
      </c>
      <c r="Q52" s="4" t="s">
        <v>195</v>
      </c>
      <c r="R52" s="4"/>
      <c r="S52" s="4"/>
    </row>
    <row r="53" customFormat="false" ht="15" hidden="false" customHeight="false" outlineLevel="0" collapsed="false">
      <c r="A53" s="4" t="s">
        <v>196</v>
      </c>
      <c r="B53" s="4" t="s">
        <v>32</v>
      </c>
      <c r="C53" s="5" t="s">
        <v>197</v>
      </c>
      <c r="D53" s="5" t="s">
        <v>198</v>
      </c>
      <c r="E53" s="4" t="s">
        <v>75</v>
      </c>
      <c r="F53" s="4" t="n">
        <v>3.3</v>
      </c>
      <c r="G53" s="4" t="n">
        <v>3.1</v>
      </c>
      <c r="H53" s="4" t="n">
        <v>34.444</v>
      </c>
      <c r="I53" s="4" t="n">
        <v>151</v>
      </c>
      <c r="J53" s="4" t="n">
        <v>0.384</v>
      </c>
      <c r="K53" s="6" t="b">
        <f aca="false">FALSE()</f>
        <v>0</v>
      </c>
      <c r="L53" s="6" t="b">
        <f aca="false">FALSE()</f>
        <v>0</v>
      </c>
      <c r="M53" s="6" t="b">
        <f aca="false">FALSE()</f>
        <v>0</v>
      </c>
      <c r="N53" s="6" t="b">
        <f aca="false">FALSE()</f>
        <v>0</v>
      </c>
      <c r="O53" s="4" t="n">
        <v>3</v>
      </c>
      <c r="P53" s="4" t="n">
        <v>0.123</v>
      </c>
      <c r="Q53" s="4" t="s">
        <v>199</v>
      </c>
      <c r="R53" s="4"/>
      <c r="S53" s="4"/>
    </row>
    <row r="54" customFormat="false" ht="15" hidden="false" customHeight="false" outlineLevel="0" collapsed="false">
      <c r="A54" s="4" t="s">
        <v>200</v>
      </c>
      <c r="B54" s="4" t="s">
        <v>42</v>
      </c>
      <c r="C54" s="4"/>
      <c r="D54" s="4"/>
      <c r="E54" s="4" t="s">
        <v>48</v>
      </c>
      <c r="F54" s="4" t="n">
        <v>3.538</v>
      </c>
      <c r="G54" s="4" t="n">
        <v>1.75</v>
      </c>
      <c r="H54" s="4" t="n">
        <v>30.435</v>
      </c>
      <c r="I54" s="4" t="n">
        <v>197</v>
      </c>
      <c r="J54" s="4"/>
      <c r="K54" s="6" t="b">
        <f aca="false">FALSE()</f>
        <v>0</v>
      </c>
      <c r="L54" s="6" t="b">
        <f aca="false">TRUE()</f>
        <v>1</v>
      </c>
      <c r="M54" s="6" t="b">
        <f aca="false">FALSE()</f>
        <v>0</v>
      </c>
      <c r="N54" s="6" t="b">
        <f aca="false">FALSE()</f>
        <v>0</v>
      </c>
      <c r="O54" s="4" t="n">
        <v>3</v>
      </c>
      <c r="P54" s="4" t="n">
        <v>0.117</v>
      </c>
      <c r="Q54" s="4" t="s">
        <v>201</v>
      </c>
      <c r="R54" s="4"/>
      <c r="S54" s="4"/>
    </row>
    <row r="55" customFormat="false" ht="15" hidden="false" customHeight="false" outlineLevel="0" collapsed="false">
      <c r="A55" s="4" t="s">
        <v>202</v>
      </c>
      <c r="B55" s="4" t="s">
        <v>42</v>
      </c>
      <c r="C55" s="4"/>
      <c r="D55" s="4"/>
      <c r="E55" s="4" t="s">
        <v>43</v>
      </c>
      <c r="F55" s="4" t="n">
        <v>3.4</v>
      </c>
      <c r="G55" s="4" t="n">
        <v>2.308</v>
      </c>
      <c r="H55" s="4" t="n">
        <v>21.168</v>
      </c>
      <c r="I55" s="4" t="n">
        <v>29</v>
      </c>
      <c r="J55" s="4"/>
      <c r="K55" s="6" t="b">
        <f aca="false">FALSE()</f>
        <v>0</v>
      </c>
      <c r="L55" s="6" t="b">
        <f aca="false">FALSE()</f>
        <v>0</v>
      </c>
      <c r="M55" s="6" t="b">
        <f aca="false">FALSE()</f>
        <v>0</v>
      </c>
      <c r="N55" s="6" t="b">
        <f aca="false">FALSE()</f>
        <v>0</v>
      </c>
      <c r="O55" s="4" t="n">
        <v>3</v>
      </c>
      <c r="P55" s="4" t="n">
        <v>0.084</v>
      </c>
      <c r="Q55" s="4" t="s">
        <v>203</v>
      </c>
      <c r="R55" s="4"/>
      <c r="S55" s="4"/>
    </row>
    <row r="56" customFormat="false" ht="15" hidden="false" customHeight="false" outlineLevel="0" collapsed="false">
      <c r="A56" s="4" t="s">
        <v>204</v>
      </c>
      <c r="B56" s="4" t="s">
        <v>42</v>
      </c>
      <c r="C56" s="4"/>
      <c r="D56" s="4"/>
      <c r="E56" s="4" t="s">
        <v>48</v>
      </c>
      <c r="F56" s="4" t="n">
        <v>3.8</v>
      </c>
      <c r="G56" s="4" t="n">
        <v>3.714</v>
      </c>
      <c r="H56" s="4" t="n">
        <v>31.356</v>
      </c>
      <c r="I56" s="4" t="n">
        <v>53</v>
      </c>
      <c r="J56" s="4"/>
      <c r="K56" s="6" t="b">
        <f aca="false">FALSE()</f>
        <v>0</v>
      </c>
      <c r="L56" s="6" t="b">
        <f aca="false">FALSE()</f>
        <v>0</v>
      </c>
      <c r="M56" s="6" t="b">
        <f aca="false">TRUE()</f>
        <v>1</v>
      </c>
      <c r="N56" s="6" t="b">
        <f aca="false">FALSE()</f>
        <v>0</v>
      </c>
      <c r="O56" s="4" t="n">
        <v>3</v>
      </c>
      <c r="P56" s="4" t="n">
        <v>0.079</v>
      </c>
      <c r="Q56" s="4" t="s">
        <v>205</v>
      </c>
      <c r="R56" s="4"/>
      <c r="S56" s="4"/>
    </row>
    <row r="57" customFormat="false" ht="15" hidden="false" customHeight="false" outlineLevel="0" collapsed="false">
      <c r="A57" s="4" t="s">
        <v>206</v>
      </c>
      <c r="B57" s="4" t="s">
        <v>32</v>
      </c>
      <c r="C57" s="5" t="s">
        <v>207</v>
      </c>
      <c r="D57" s="5" t="s">
        <v>208</v>
      </c>
      <c r="E57" s="4" t="s">
        <v>48</v>
      </c>
      <c r="F57" s="4" t="n">
        <v>3.182</v>
      </c>
      <c r="G57" s="4" t="n">
        <v>3.444</v>
      </c>
      <c r="H57" s="4" t="n">
        <v>38.889</v>
      </c>
      <c r="I57" s="4" t="n">
        <v>216</v>
      </c>
      <c r="J57" s="4" t="n">
        <v>0.289</v>
      </c>
      <c r="K57" s="6" t="b">
        <f aca="false">FALSE()</f>
        <v>0</v>
      </c>
      <c r="L57" s="6" t="b">
        <f aca="false">FALSE()</f>
        <v>0</v>
      </c>
      <c r="M57" s="6" t="b">
        <f aca="false">FALSE()</f>
        <v>0</v>
      </c>
      <c r="N57" s="6" t="b">
        <f aca="false">FALSE()</f>
        <v>0</v>
      </c>
      <c r="O57" s="4" t="n">
        <v>3</v>
      </c>
      <c r="P57" s="4" t="n">
        <v>0.026</v>
      </c>
      <c r="Q57" s="4" t="s">
        <v>209</v>
      </c>
      <c r="R57" s="4"/>
      <c r="S57" s="4"/>
    </row>
    <row r="58" customFormat="false" ht="15" hidden="false" customHeight="false" outlineLevel="0" collapsed="false">
      <c r="A58" s="4" t="s">
        <v>210</v>
      </c>
      <c r="B58" s="4" t="s">
        <v>42</v>
      </c>
      <c r="C58" s="4"/>
      <c r="D58" s="4"/>
      <c r="E58" s="4" t="s">
        <v>43</v>
      </c>
      <c r="F58" s="4" t="n">
        <v>3.4</v>
      </c>
      <c r="G58" s="4" t="n">
        <v>2.75</v>
      </c>
      <c r="H58" s="4" t="n">
        <v>21.094</v>
      </c>
      <c r="I58" s="4" t="n">
        <v>16</v>
      </c>
      <c r="J58" s="4"/>
      <c r="K58" s="6" t="b">
        <f aca="false">TRUE()</f>
        <v>1</v>
      </c>
      <c r="L58" s="6" t="b">
        <f aca="false">FALSE()</f>
        <v>0</v>
      </c>
      <c r="M58" s="6" t="b">
        <f aca="false">FALSE()</f>
        <v>0</v>
      </c>
      <c r="N58" s="6" t="b">
        <f aca="false">FALSE()</f>
        <v>0</v>
      </c>
      <c r="O58" s="4" t="n">
        <v>4</v>
      </c>
      <c r="P58" s="4" t="n">
        <v>0</v>
      </c>
      <c r="Q58" s="4" t="s">
        <v>211</v>
      </c>
      <c r="R58" s="4"/>
      <c r="S58" s="4"/>
    </row>
    <row r="59" customFormat="false" ht="15" hidden="false" customHeight="false" outlineLevel="0" collapsed="false">
      <c r="A59" s="4" t="s">
        <v>212</v>
      </c>
      <c r="B59" s="4" t="s">
        <v>42</v>
      </c>
      <c r="C59" s="4"/>
      <c r="D59" s="4"/>
      <c r="E59" s="4" t="s">
        <v>48</v>
      </c>
      <c r="F59" s="4" t="n">
        <v>4</v>
      </c>
      <c r="G59" s="4" t="n">
        <v>1.65</v>
      </c>
      <c r="H59" s="4" t="n">
        <v>30.769</v>
      </c>
      <c r="I59" s="4" t="n">
        <v>11</v>
      </c>
      <c r="J59" s="4"/>
      <c r="K59" s="6" t="b">
        <f aca="false">TRUE()</f>
        <v>1</v>
      </c>
      <c r="L59" s="6" t="b">
        <f aca="false">TRUE()</f>
        <v>1</v>
      </c>
      <c r="M59" s="6" t="b">
        <f aca="false">FALSE()</f>
        <v>0</v>
      </c>
      <c r="N59" s="6" t="b">
        <f aca="false">FALSE()</f>
        <v>0</v>
      </c>
      <c r="O59" s="4" t="n">
        <v>4</v>
      </c>
      <c r="P59" s="4" t="n">
        <v>-0.031</v>
      </c>
      <c r="Q59" s="4" t="s">
        <v>213</v>
      </c>
      <c r="R59" s="4"/>
      <c r="S59" s="4"/>
    </row>
    <row r="60" customFormat="false" ht="15" hidden="false" customHeight="false" outlineLevel="0" collapsed="false">
      <c r="A60" s="4" t="s">
        <v>214</v>
      </c>
      <c r="B60" s="4" t="s">
        <v>32</v>
      </c>
      <c r="C60" s="5" t="s">
        <v>215</v>
      </c>
      <c r="D60" s="5" t="s">
        <v>216</v>
      </c>
      <c r="E60" s="4" t="s">
        <v>75</v>
      </c>
      <c r="F60" s="4" t="n">
        <v>2.636</v>
      </c>
      <c r="G60" s="4"/>
      <c r="H60" s="4" t="n">
        <v>38.356</v>
      </c>
      <c r="I60" s="4" t="n">
        <v>714</v>
      </c>
      <c r="J60" s="4" t="n">
        <v>0.291</v>
      </c>
      <c r="K60" s="6" t="b">
        <f aca="false">FALSE()</f>
        <v>0</v>
      </c>
      <c r="L60" s="6" t="b">
        <f aca="false">FALSE()</f>
        <v>0</v>
      </c>
      <c r="M60" s="6" t="b">
        <f aca="false">TRUE()</f>
        <v>1</v>
      </c>
      <c r="N60" s="6" t="b">
        <f aca="false">FALSE()</f>
        <v>0</v>
      </c>
      <c r="O60" s="4" t="n">
        <v>3</v>
      </c>
      <c r="P60" s="4" t="n">
        <v>-0.035</v>
      </c>
      <c r="Q60" s="4" t="s">
        <v>217</v>
      </c>
      <c r="R60" s="4"/>
      <c r="S60" s="4"/>
    </row>
    <row r="61" customFormat="false" ht="15" hidden="false" customHeight="false" outlineLevel="0" collapsed="false">
      <c r="A61" s="4" t="s">
        <v>218</v>
      </c>
      <c r="B61" s="4" t="s">
        <v>42</v>
      </c>
      <c r="C61" s="4"/>
      <c r="D61" s="4"/>
      <c r="E61" s="4" t="s">
        <v>48</v>
      </c>
      <c r="F61" s="4" t="n">
        <v>2.9</v>
      </c>
      <c r="G61" s="4"/>
      <c r="H61" s="4" t="n">
        <v>29.07</v>
      </c>
      <c r="I61" s="4" t="n">
        <v>812</v>
      </c>
      <c r="J61" s="4"/>
      <c r="K61" s="6" t="b">
        <f aca="false">FALSE()</f>
        <v>0</v>
      </c>
      <c r="L61" s="6" t="b">
        <f aca="false">FALSE()</f>
        <v>0</v>
      </c>
      <c r="M61" s="6" t="b">
        <f aca="false">TRUE()</f>
        <v>1</v>
      </c>
      <c r="N61" s="6" t="b">
        <f aca="false">FALSE()</f>
        <v>0</v>
      </c>
      <c r="O61" s="4" t="n">
        <v>3</v>
      </c>
      <c r="P61" s="4" t="n">
        <v>-0.046</v>
      </c>
      <c r="Q61" s="4" t="s">
        <v>219</v>
      </c>
      <c r="R61" s="4"/>
      <c r="S61" s="4"/>
    </row>
    <row r="62" customFormat="false" ht="15" hidden="false" customHeight="false" outlineLevel="0" collapsed="false">
      <c r="A62" s="4" t="s">
        <v>220</v>
      </c>
      <c r="B62" s="4" t="s">
        <v>42</v>
      </c>
      <c r="C62" s="4"/>
      <c r="D62" s="4"/>
      <c r="E62" s="4" t="s">
        <v>48</v>
      </c>
      <c r="F62" s="4" t="n">
        <v>3.909</v>
      </c>
      <c r="G62" s="4" t="n">
        <v>3.538</v>
      </c>
      <c r="H62" s="4" t="n">
        <v>28.289</v>
      </c>
      <c r="I62" s="4" t="n">
        <v>13</v>
      </c>
      <c r="J62" s="4"/>
      <c r="K62" s="6" t="b">
        <f aca="false">TRUE()</f>
        <v>1</v>
      </c>
      <c r="L62" s="6" t="b">
        <f aca="false">FALSE()</f>
        <v>0</v>
      </c>
      <c r="M62" s="6" t="b">
        <f aca="false">FALSE()</f>
        <v>0</v>
      </c>
      <c r="N62" s="6" t="b">
        <f aca="false">FALSE()</f>
        <v>0</v>
      </c>
      <c r="O62" s="4" t="n">
        <v>4</v>
      </c>
      <c r="P62" s="4" t="n">
        <v>-0.059</v>
      </c>
      <c r="Q62" s="4" t="s">
        <v>221</v>
      </c>
      <c r="R62" s="4"/>
      <c r="S62" s="4"/>
    </row>
    <row r="63" customFormat="false" ht="15" hidden="false" customHeight="false" outlineLevel="0" collapsed="false">
      <c r="A63" s="4" t="s">
        <v>222</v>
      </c>
      <c r="B63" s="4" t="s">
        <v>42</v>
      </c>
      <c r="C63" s="4"/>
      <c r="D63" s="4"/>
      <c r="E63" s="4" t="s">
        <v>43</v>
      </c>
      <c r="F63" s="4" t="n">
        <v>3</v>
      </c>
      <c r="G63" s="4" t="n">
        <v>2.786</v>
      </c>
      <c r="H63" s="4" t="n">
        <v>34.118</v>
      </c>
      <c r="I63" s="4" t="n">
        <v>47</v>
      </c>
      <c r="J63" s="4"/>
      <c r="K63" s="6" t="b">
        <f aca="false">TRUE()</f>
        <v>1</v>
      </c>
      <c r="L63" s="6" t="b">
        <f aca="false">FALSE()</f>
        <v>0</v>
      </c>
      <c r="M63" s="6" t="b">
        <f aca="false">FALSE()</f>
        <v>0</v>
      </c>
      <c r="N63" s="6" t="b">
        <f aca="false">FALSE()</f>
        <v>0</v>
      </c>
      <c r="O63" s="4" t="n">
        <v>4</v>
      </c>
      <c r="P63" s="4" t="n">
        <v>-0.075</v>
      </c>
      <c r="Q63" s="4" t="s">
        <v>223</v>
      </c>
      <c r="R63" s="4"/>
      <c r="S63" s="4"/>
    </row>
    <row r="64" customFormat="false" ht="15" hidden="false" customHeight="false" outlineLevel="0" collapsed="false">
      <c r="A64" s="4" t="s">
        <v>224</v>
      </c>
      <c r="B64" s="4" t="s">
        <v>32</v>
      </c>
      <c r="C64" s="5" t="s">
        <v>225</v>
      </c>
      <c r="D64" s="5" t="s">
        <v>226</v>
      </c>
      <c r="E64" s="4" t="s">
        <v>48</v>
      </c>
      <c r="F64" s="4" t="n">
        <v>3.182</v>
      </c>
      <c r="G64" s="4" t="n">
        <v>2.154</v>
      </c>
      <c r="H64" s="4" t="n">
        <v>35.106</v>
      </c>
      <c r="I64" s="4" t="n">
        <v>93</v>
      </c>
      <c r="J64" s="4" t="n">
        <v>0.166</v>
      </c>
      <c r="K64" s="6" t="b">
        <f aca="false">FALSE()</f>
        <v>0</v>
      </c>
      <c r="L64" s="6" t="b">
        <f aca="false">TRUE()</f>
        <v>1</v>
      </c>
      <c r="M64" s="6" t="b">
        <f aca="false">TRUE()</f>
        <v>1</v>
      </c>
      <c r="N64" s="6" t="b">
        <f aca="false">FALSE()</f>
        <v>0</v>
      </c>
      <c r="O64" s="4" t="n">
        <v>3</v>
      </c>
      <c r="P64" s="4" t="n">
        <v>-0.094</v>
      </c>
      <c r="Q64" s="4" t="s">
        <v>227</v>
      </c>
      <c r="R64" s="4"/>
      <c r="S64" s="4"/>
    </row>
    <row r="65" customFormat="false" ht="15" hidden="false" customHeight="false" outlineLevel="0" collapsed="false">
      <c r="A65" s="4" t="s">
        <v>228</v>
      </c>
      <c r="B65" s="4" t="s">
        <v>32</v>
      </c>
      <c r="C65" s="5" t="s">
        <v>229</v>
      </c>
      <c r="D65" s="5" t="s">
        <v>230</v>
      </c>
      <c r="E65" s="4" t="s">
        <v>48</v>
      </c>
      <c r="F65" s="4" t="n">
        <v>2.727</v>
      </c>
      <c r="G65" s="4"/>
      <c r="H65" s="4" t="n">
        <v>28.431</v>
      </c>
      <c r="I65" s="4" t="n">
        <v>560</v>
      </c>
      <c r="J65" s="4" t="n">
        <v>0.401</v>
      </c>
      <c r="K65" s="6" t="b">
        <f aca="false">TRUE()</f>
        <v>1</v>
      </c>
      <c r="L65" s="6" t="b">
        <f aca="false">TRUE()</f>
        <v>1</v>
      </c>
      <c r="M65" s="6" t="b">
        <f aca="false">FALSE()</f>
        <v>0</v>
      </c>
      <c r="N65" s="6" t="b">
        <f aca="false">FALSE()</f>
        <v>0</v>
      </c>
      <c r="O65" s="4" t="n">
        <v>4</v>
      </c>
      <c r="P65" s="4" t="n">
        <v>-0.098</v>
      </c>
      <c r="Q65" s="4" t="s">
        <v>231</v>
      </c>
      <c r="R65" s="4"/>
      <c r="S65" s="4"/>
    </row>
    <row r="66" customFormat="false" ht="15" hidden="false" customHeight="false" outlineLevel="0" collapsed="false">
      <c r="A66" s="4" t="s">
        <v>232</v>
      </c>
      <c r="B66" s="4" t="s">
        <v>42</v>
      </c>
      <c r="C66" s="4"/>
      <c r="D66" s="4"/>
      <c r="E66" s="4" t="s">
        <v>35</v>
      </c>
      <c r="F66" s="4" t="n">
        <v>3.417</v>
      </c>
      <c r="G66" s="4" t="n">
        <v>1</v>
      </c>
      <c r="H66" s="4" t="n">
        <v>25.503</v>
      </c>
      <c r="I66" s="4" t="n">
        <v>12</v>
      </c>
      <c r="J66" s="4"/>
      <c r="K66" s="6" t="b">
        <f aca="false">FALSE()</f>
        <v>0</v>
      </c>
      <c r="L66" s="6" t="b">
        <f aca="false">FALSE()</f>
        <v>0</v>
      </c>
      <c r="M66" s="6" t="b">
        <f aca="false">FALSE()</f>
        <v>0</v>
      </c>
      <c r="N66" s="6" t="b">
        <f aca="false">FALSE()</f>
        <v>0</v>
      </c>
      <c r="O66" s="4" t="n">
        <v>3</v>
      </c>
      <c r="P66" s="4" t="n">
        <v>-0.112</v>
      </c>
      <c r="Q66" s="4" t="s">
        <v>233</v>
      </c>
      <c r="R66" s="4"/>
      <c r="S66" s="4"/>
    </row>
    <row r="67" customFormat="false" ht="15" hidden="false" customHeight="false" outlineLevel="0" collapsed="false">
      <c r="A67" s="4" t="s">
        <v>234</v>
      </c>
      <c r="B67" s="4" t="s">
        <v>42</v>
      </c>
      <c r="C67" s="4"/>
      <c r="D67" s="4"/>
      <c r="E67" s="4" t="s">
        <v>75</v>
      </c>
      <c r="F67" s="4" t="n">
        <v>3.7</v>
      </c>
      <c r="G67" s="4" t="n">
        <v>3.053</v>
      </c>
      <c r="H67" s="4" t="n">
        <v>28.448</v>
      </c>
      <c r="I67" s="4" t="n">
        <v>7</v>
      </c>
      <c r="J67" s="4"/>
      <c r="K67" s="6" t="b">
        <f aca="false">FALSE()</f>
        <v>0</v>
      </c>
      <c r="L67" s="6" t="b">
        <f aca="false">TRUE()</f>
        <v>1</v>
      </c>
      <c r="M67" s="6" t="b">
        <f aca="false">FALSE()</f>
        <v>0</v>
      </c>
      <c r="N67" s="6" t="b">
        <f aca="false">TRUE()</f>
        <v>1</v>
      </c>
      <c r="O67" s="4" t="n">
        <v>3</v>
      </c>
      <c r="P67" s="4" t="n">
        <v>-0.187</v>
      </c>
      <c r="Q67" s="4" t="s">
        <v>235</v>
      </c>
      <c r="R67" s="4"/>
      <c r="S67" s="4"/>
    </row>
    <row r="68" customFormat="false" ht="15" hidden="false" customHeight="false" outlineLevel="0" collapsed="false">
      <c r="A68" s="4" t="s">
        <v>236</v>
      </c>
      <c r="B68" s="4" t="s">
        <v>42</v>
      </c>
      <c r="C68" s="4"/>
      <c r="D68" s="4"/>
      <c r="E68" s="4" t="s">
        <v>75</v>
      </c>
      <c r="F68" s="4" t="n">
        <v>2.3</v>
      </c>
      <c r="G68" s="4"/>
      <c r="H68" s="4" t="n">
        <v>30.159</v>
      </c>
      <c r="I68" s="4" t="n">
        <v>1872</v>
      </c>
      <c r="J68" s="4"/>
      <c r="K68" s="6" t="b">
        <f aca="false">FALSE()</f>
        <v>0</v>
      </c>
      <c r="L68" s="6" t="b">
        <f aca="false">FALSE()</f>
        <v>0</v>
      </c>
      <c r="M68" s="6" t="b">
        <f aca="false">TRUE()</f>
        <v>1</v>
      </c>
      <c r="N68" s="6" t="b">
        <f aca="false">FALSE()</f>
        <v>0</v>
      </c>
      <c r="O68" s="4" t="n">
        <v>3</v>
      </c>
      <c r="P68" s="4" t="n">
        <v>-0.19</v>
      </c>
      <c r="Q68" s="4" t="s">
        <v>237</v>
      </c>
      <c r="R68" s="4"/>
      <c r="S68" s="4"/>
    </row>
    <row r="69" customFormat="false" ht="15" hidden="false" customHeight="false" outlineLevel="0" collapsed="false">
      <c r="A69" s="4" t="s">
        <v>238</v>
      </c>
      <c r="B69" s="4" t="s">
        <v>32</v>
      </c>
      <c r="C69" s="5" t="s">
        <v>239</v>
      </c>
      <c r="D69" s="5" t="s">
        <v>240</v>
      </c>
      <c r="E69" s="4" t="s">
        <v>48</v>
      </c>
      <c r="F69" s="4" t="n">
        <v>2.364</v>
      </c>
      <c r="G69" s="4"/>
      <c r="H69" s="4" t="n">
        <v>28.395</v>
      </c>
      <c r="I69" s="4" t="n">
        <v>1180</v>
      </c>
      <c r="J69" s="4" t="n">
        <v>0.262</v>
      </c>
      <c r="K69" s="6" t="b">
        <f aca="false">FALSE()</f>
        <v>0</v>
      </c>
      <c r="L69" s="6" t="b">
        <f aca="false">FALSE()</f>
        <v>0</v>
      </c>
      <c r="M69" s="6" t="b">
        <f aca="false">FALSE()</f>
        <v>0</v>
      </c>
      <c r="N69" s="6" t="b">
        <f aca="false">FALSE()</f>
        <v>0</v>
      </c>
      <c r="O69" s="4" t="n">
        <v>2</v>
      </c>
      <c r="P69" s="4" t="n">
        <v>-0.199</v>
      </c>
      <c r="Q69" s="4" t="s">
        <v>241</v>
      </c>
      <c r="R69" s="4"/>
      <c r="S69" s="4"/>
    </row>
    <row r="70" customFormat="false" ht="15" hidden="false" customHeight="false" outlineLevel="0" collapsed="false">
      <c r="A70" s="4" t="s">
        <v>242</v>
      </c>
      <c r="B70" s="4" t="s">
        <v>42</v>
      </c>
      <c r="C70" s="4"/>
      <c r="D70" s="4"/>
      <c r="E70" s="4" t="s">
        <v>48</v>
      </c>
      <c r="F70" s="4" t="n">
        <v>3.4</v>
      </c>
      <c r="G70" s="4" t="n">
        <v>2.4</v>
      </c>
      <c r="H70" s="4" t="n">
        <v>33.673</v>
      </c>
      <c r="I70" s="4" t="n">
        <v>34</v>
      </c>
      <c r="J70" s="4"/>
      <c r="K70" s="6" t="b">
        <f aca="false">FALSE()</f>
        <v>0</v>
      </c>
      <c r="L70" s="6" t="b">
        <f aca="false">FALSE()</f>
        <v>0</v>
      </c>
      <c r="M70" s="6" t="b">
        <f aca="false">TRUE()</f>
        <v>1</v>
      </c>
      <c r="N70" s="6" t="b">
        <f aca="false">FALSE()</f>
        <v>0</v>
      </c>
      <c r="O70" s="4" t="n">
        <v>3</v>
      </c>
      <c r="P70" s="4" t="n">
        <v>-0.213</v>
      </c>
      <c r="Q70" s="4" t="s">
        <v>243</v>
      </c>
      <c r="R70" s="4"/>
      <c r="S70" s="4"/>
    </row>
    <row r="71" customFormat="false" ht="15" hidden="false" customHeight="false" outlineLevel="0" collapsed="false">
      <c r="A71" s="4" t="s">
        <v>244</v>
      </c>
      <c r="B71" s="4" t="s">
        <v>32</v>
      </c>
      <c r="C71" s="5" t="s">
        <v>245</v>
      </c>
      <c r="D71" s="5" t="s">
        <v>246</v>
      </c>
      <c r="E71" s="4" t="s">
        <v>48</v>
      </c>
      <c r="F71" s="4" t="n">
        <v>2.5</v>
      </c>
      <c r="G71" s="4"/>
      <c r="H71" s="4" t="n">
        <v>10.811</v>
      </c>
      <c r="I71" s="4" t="n">
        <v>575</v>
      </c>
      <c r="J71" s="4" t="n">
        <v>0.03</v>
      </c>
      <c r="K71" s="6" t="b">
        <f aca="false">FALSE()</f>
        <v>0</v>
      </c>
      <c r="L71" s="6" t="b">
        <f aca="false">FALSE()</f>
        <v>0</v>
      </c>
      <c r="M71" s="6" t="b">
        <f aca="false">TRUE()</f>
        <v>1</v>
      </c>
      <c r="N71" s="6" t="b">
        <f aca="false">FALSE()</f>
        <v>0</v>
      </c>
      <c r="O71" s="4" t="n">
        <v>3</v>
      </c>
      <c r="P71" s="4" t="n">
        <v>-0.224</v>
      </c>
      <c r="Q71" s="4" t="s">
        <v>247</v>
      </c>
      <c r="R71" s="4"/>
      <c r="S71" s="4"/>
    </row>
    <row r="72" customFormat="false" ht="15" hidden="false" customHeight="false" outlineLevel="0" collapsed="false">
      <c r="A72" s="4" t="s">
        <v>248</v>
      </c>
      <c r="B72" s="4" t="s">
        <v>32</v>
      </c>
      <c r="C72" s="5" t="s">
        <v>249</v>
      </c>
      <c r="D72" s="5" t="s">
        <v>250</v>
      </c>
      <c r="E72" s="4" t="s">
        <v>75</v>
      </c>
      <c r="F72" s="4" t="n">
        <v>2.8</v>
      </c>
      <c r="G72" s="4"/>
      <c r="H72" s="4" t="n">
        <v>24.742</v>
      </c>
      <c r="I72" s="4" t="n">
        <v>94</v>
      </c>
      <c r="J72" s="4" t="n">
        <v>0.238</v>
      </c>
      <c r="K72" s="6" t="b">
        <f aca="false">TRUE()</f>
        <v>1</v>
      </c>
      <c r="L72" s="6" t="b">
        <f aca="false">FALSE()</f>
        <v>0</v>
      </c>
      <c r="M72" s="6" t="b">
        <f aca="false">FALSE()</f>
        <v>0</v>
      </c>
      <c r="N72" s="6" t="b">
        <f aca="false">FALSE()</f>
        <v>0</v>
      </c>
      <c r="O72" s="4" t="n">
        <v>4</v>
      </c>
      <c r="P72" s="4" t="n">
        <v>-0.231</v>
      </c>
      <c r="Q72" s="4" t="s">
        <v>251</v>
      </c>
      <c r="R72" s="4"/>
      <c r="S72" s="4"/>
    </row>
    <row r="73" customFormat="false" ht="15" hidden="false" customHeight="false" outlineLevel="0" collapsed="false">
      <c r="A73" s="4" t="s">
        <v>252</v>
      </c>
      <c r="B73" s="4" t="s">
        <v>42</v>
      </c>
      <c r="C73" s="4"/>
      <c r="D73" s="4"/>
      <c r="E73" s="4" t="s">
        <v>48</v>
      </c>
      <c r="F73" s="4" t="n">
        <v>3.6</v>
      </c>
      <c r="G73" s="4" t="n">
        <v>3.231</v>
      </c>
      <c r="H73" s="4" t="n">
        <v>31.193</v>
      </c>
      <c r="I73" s="4" t="n">
        <v>8</v>
      </c>
      <c r="J73" s="4"/>
      <c r="K73" s="6" t="b">
        <f aca="false">TRUE()</f>
        <v>1</v>
      </c>
      <c r="L73" s="6" t="b">
        <f aca="false">FALSE()</f>
        <v>0</v>
      </c>
      <c r="M73" s="6" t="b">
        <f aca="false">FALSE()</f>
        <v>0</v>
      </c>
      <c r="N73" s="6" t="b">
        <f aca="false">FALSE()</f>
        <v>0</v>
      </c>
      <c r="O73" s="4" t="n">
        <v>6</v>
      </c>
      <c r="P73" s="4" t="n">
        <v>-0.305</v>
      </c>
      <c r="Q73" s="4" t="s">
        <v>253</v>
      </c>
      <c r="R73" s="4"/>
      <c r="S73" s="4"/>
    </row>
    <row r="74" customFormat="false" ht="15" hidden="false" customHeight="false" outlineLevel="0" collapsed="false">
      <c r="A74" s="4" t="s">
        <v>254</v>
      </c>
      <c r="B74" s="4" t="s">
        <v>42</v>
      </c>
      <c r="C74" s="4"/>
      <c r="D74" s="4"/>
      <c r="E74" s="4" t="s">
        <v>43</v>
      </c>
      <c r="F74" s="4" t="n">
        <v>2.9</v>
      </c>
      <c r="G74" s="4" t="n">
        <v>2</v>
      </c>
      <c r="H74" s="4" t="n">
        <v>29.412</v>
      </c>
      <c r="I74" s="4" t="n">
        <v>12</v>
      </c>
      <c r="J74" s="4"/>
      <c r="K74" s="6" t="b">
        <f aca="false">TRUE()</f>
        <v>1</v>
      </c>
      <c r="L74" s="6" t="b">
        <f aca="false">FALSE()</f>
        <v>0</v>
      </c>
      <c r="M74" s="6" t="b">
        <f aca="false">FALSE()</f>
        <v>0</v>
      </c>
      <c r="N74" s="6" t="b">
        <f aca="false">FALSE()</f>
        <v>0</v>
      </c>
      <c r="O74" s="4" t="n">
        <v>4</v>
      </c>
      <c r="P74" s="4" t="n">
        <v>-0.327</v>
      </c>
      <c r="Q74" s="4" t="s">
        <v>255</v>
      </c>
      <c r="R74" s="4"/>
      <c r="S74" s="4"/>
    </row>
    <row r="75" customFormat="false" ht="15" hidden="false" customHeight="false" outlineLevel="0" collapsed="false">
      <c r="A75" s="4" t="s">
        <v>256</v>
      </c>
      <c r="B75" s="4" t="s">
        <v>42</v>
      </c>
      <c r="C75" s="4"/>
      <c r="D75" s="4"/>
      <c r="E75" s="4" t="s">
        <v>48</v>
      </c>
      <c r="F75" s="4" t="n">
        <v>3.4</v>
      </c>
      <c r="G75" s="4" t="n">
        <v>2.909</v>
      </c>
      <c r="H75" s="4" t="n">
        <v>38.202</v>
      </c>
      <c r="I75" s="4" t="n">
        <v>12</v>
      </c>
      <c r="J75" s="4"/>
      <c r="K75" s="6" t="b">
        <f aca="false">TRUE()</f>
        <v>1</v>
      </c>
      <c r="L75" s="6" t="b">
        <f aca="false">TRUE()</f>
        <v>1</v>
      </c>
      <c r="M75" s="6" t="b">
        <f aca="false">FALSE()</f>
        <v>0</v>
      </c>
      <c r="N75" s="6" t="b">
        <f aca="false">FALSE()</f>
        <v>0</v>
      </c>
      <c r="O75" s="4" t="n">
        <v>4</v>
      </c>
      <c r="P75" s="4" t="n">
        <v>-0.361</v>
      </c>
      <c r="Q75" s="4" t="s">
        <v>257</v>
      </c>
      <c r="R75" s="4"/>
      <c r="S75" s="4"/>
    </row>
    <row r="76" customFormat="false" ht="15" hidden="false" customHeight="false" outlineLevel="0" collapsed="false">
      <c r="A76" s="4" t="s">
        <v>258</v>
      </c>
      <c r="B76" s="4" t="s">
        <v>32</v>
      </c>
      <c r="C76" s="5" t="s">
        <v>259</v>
      </c>
      <c r="D76" s="5" t="s">
        <v>260</v>
      </c>
      <c r="E76" s="4" t="s">
        <v>48</v>
      </c>
      <c r="F76" s="4" t="n">
        <v>2.6</v>
      </c>
      <c r="G76" s="4" t="n">
        <v>0.429</v>
      </c>
      <c r="H76" s="4" t="n">
        <v>21.698</v>
      </c>
      <c r="I76" s="4" t="n">
        <v>73</v>
      </c>
      <c r="J76" s="4" t="n">
        <v>0.403</v>
      </c>
      <c r="K76" s="6" t="b">
        <f aca="false">FALSE()</f>
        <v>0</v>
      </c>
      <c r="L76" s="6" t="b">
        <f aca="false">FALSE()</f>
        <v>0</v>
      </c>
      <c r="M76" s="6" t="b">
        <f aca="false">TRUE()</f>
        <v>1</v>
      </c>
      <c r="N76" s="6" t="b">
        <f aca="false">FALSE()</f>
        <v>0</v>
      </c>
      <c r="O76" s="4" t="n">
        <v>3</v>
      </c>
      <c r="P76" s="4" t="n">
        <v>-0.461</v>
      </c>
      <c r="Q76" s="4" t="s">
        <v>261</v>
      </c>
      <c r="R76" s="4"/>
      <c r="S76" s="4"/>
    </row>
    <row r="77" customFormat="false" ht="15" hidden="false" customHeight="false" outlineLevel="0" collapsed="false">
      <c r="A77" s="4" t="s">
        <v>262</v>
      </c>
      <c r="B77" s="4" t="s">
        <v>42</v>
      </c>
      <c r="C77" s="4"/>
      <c r="D77" s="4"/>
      <c r="E77" s="4" t="s">
        <v>48</v>
      </c>
      <c r="F77" s="4" t="n">
        <v>2.9</v>
      </c>
      <c r="G77" s="4" t="n">
        <v>2.154</v>
      </c>
      <c r="H77" s="4" t="n">
        <v>24.762</v>
      </c>
      <c r="I77" s="4" t="n">
        <v>32</v>
      </c>
      <c r="J77" s="4"/>
      <c r="K77" s="6" t="b">
        <f aca="false">FALSE()</f>
        <v>0</v>
      </c>
      <c r="L77" s="6" t="b">
        <f aca="false">FALSE()</f>
        <v>0</v>
      </c>
      <c r="M77" s="6" t="b">
        <f aca="false">TRUE()</f>
        <v>1</v>
      </c>
      <c r="N77" s="6" t="b">
        <f aca="false">FALSE()</f>
        <v>0</v>
      </c>
      <c r="O77" s="4" t="n">
        <v>3</v>
      </c>
      <c r="P77" s="4" t="n">
        <v>-0.507</v>
      </c>
      <c r="Q77" s="4" t="s">
        <v>263</v>
      </c>
      <c r="R77" s="4"/>
      <c r="S77" s="4"/>
    </row>
    <row r="78" customFormat="false" ht="15" hidden="false" customHeight="false" outlineLevel="0" collapsed="false">
      <c r="A78" s="4" t="s">
        <v>264</v>
      </c>
      <c r="B78" s="4" t="s">
        <v>42</v>
      </c>
      <c r="C78" s="4"/>
      <c r="D78" s="4"/>
      <c r="E78" s="4" t="s">
        <v>48</v>
      </c>
      <c r="F78" s="4" t="n">
        <v>3.4</v>
      </c>
      <c r="G78" s="4"/>
      <c r="H78" s="4" t="n">
        <v>23.636</v>
      </c>
      <c r="I78" s="4" t="n">
        <v>2</v>
      </c>
      <c r="J78" s="4"/>
      <c r="K78" s="6" t="b">
        <f aca="false">FALSE()</f>
        <v>0</v>
      </c>
      <c r="L78" s="6" t="b">
        <f aca="false">FALSE()</f>
        <v>0</v>
      </c>
      <c r="M78" s="6" t="b">
        <f aca="false">FALSE()</f>
        <v>0</v>
      </c>
      <c r="N78" s="6" t="b">
        <f aca="false">TRUE()</f>
        <v>1</v>
      </c>
      <c r="O78" s="4" t="n">
        <v>3</v>
      </c>
      <c r="P78" s="4" t="n">
        <v>-0.617</v>
      </c>
      <c r="Q78" s="4" t="s">
        <v>265</v>
      </c>
      <c r="R78" s="4"/>
      <c r="S78" s="4"/>
    </row>
    <row r="79" customFormat="false" ht="15" hidden="false" customHeight="false" outlineLevel="0" collapsed="false">
      <c r="A79" s="4" t="s">
        <v>266</v>
      </c>
      <c r="B79" s="4" t="s">
        <v>42</v>
      </c>
      <c r="C79" s="4"/>
      <c r="D79" s="4"/>
      <c r="E79" s="4" t="s">
        <v>75</v>
      </c>
      <c r="F79" s="4" t="n">
        <v>2.3</v>
      </c>
      <c r="G79" s="4" t="n">
        <v>2.667</v>
      </c>
      <c r="H79" s="4" t="n">
        <v>31.884</v>
      </c>
      <c r="I79" s="4" t="n">
        <v>57</v>
      </c>
      <c r="J79" s="4"/>
      <c r="K79" s="6" t="b">
        <f aca="false">FALSE()</f>
        <v>0</v>
      </c>
      <c r="L79" s="6" t="b">
        <f aca="false">FALSE()</f>
        <v>0</v>
      </c>
      <c r="M79" s="6" t="b">
        <f aca="false">TRUE()</f>
        <v>1</v>
      </c>
      <c r="N79" s="6" t="b">
        <f aca="false">FALSE()</f>
        <v>0</v>
      </c>
      <c r="O79" s="4" t="n">
        <v>3</v>
      </c>
      <c r="P79" s="4" t="n">
        <v>-0.688</v>
      </c>
      <c r="Q79" s="4"/>
      <c r="R79" s="4"/>
      <c r="S79" s="4"/>
    </row>
    <row r="80" customFormat="false" ht="15" hidden="false" customHeight="false" outlineLevel="0" collapsed="false">
      <c r="A80" s="4" t="s">
        <v>267</v>
      </c>
      <c r="B80" s="4" t="s">
        <v>42</v>
      </c>
      <c r="C80" s="4"/>
      <c r="D80" s="4"/>
      <c r="E80" s="4" t="s">
        <v>48</v>
      </c>
      <c r="F80" s="4" t="n">
        <v>2.5</v>
      </c>
      <c r="G80" s="4" t="n">
        <v>0.9</v>
      </c>
      <c r="H80" s="4" t="n">
        <v>33.803</v>
      </c>
      <c r="I80" s="4" t="n">
        <v>25</v>
      </c>
      <c r="J80" s="4"/>
      <c r="K80" s="6" t="b">
        <f aca="false">FALSE()</f>
        <v>0</v>
      </c>
      <c r="L80" s="6" t="b">
        <f aca="false">FALSE()</f>
        <v>0</v>
      </c>
      <c r="M80" s="6" t="b">
        <f aca="false">TRUE()</f>
        <v>1</v>
      </c>
      <c r="N80" s="6" t="b">
        <f aca="false">FALSE()</f>
        <v>0</v>
      </c>
      <c r="O80" s="4" t="n">
        <v>4</v>
      </c>
      <c r="P80" s="4" t="n">
        <v>-0.771</v>
      </c>
      <c r="Q80" s="4" t="s">
        <v>268</v>
      </c>
      <c r="R80" s="4"/>
      <c r="S80" s="4"/>
    </row>
    <row r="81" customFormat="false" ht="15" hidden="false" customHeight="false" outlineLevel="0" collapsed="false">
      <c r="A81" s="4" t="s">
        <v>269</v>
      </c>
      <c r="B81" s="4" t="s">
        <v>42</v>
      </c>
      <c r="C81" s="4"/>
      <c r="D81" s="4"/>
      <c r="E81" s="4" t="s">
        <v>48</v>
      </c>
      <c r="F81" s="4" t="n">
        <v>2.308</v>
      </c>
      <c r="G81" s="4" t="n">
        <v>2.133</v>
      </c>
      <c r="H81" s="4" t="n">
        <v>19.469</v>
      </c>
      <c r="I81" s="4" t="n">
        <v>40</v>
      </c>
      <c r="J81" s="4"/>
      <c r="K81" s="6" t="b">
        <f aca="false">TRUE()</f>
        <v>1</v>
      </c>
      <c r="L81" s="6" t="b">
        <f aca="false">FALSE()</f>
        <v>0</v>
      </c>
      <c r="M81" s="6" t="b">
        <f aca="false">FALSE()</f>
        <v>0</v>
      </c>
      <c r="N81" s="6" t="b">
        <f aca="false">FALSE()</f>
        <v>0</v>
      </c>
      <c r="O81" s="4" t="n">
        <v>4</v>
      </c>
      <c r="P81" s="4" t="n">
        <v>-0.814</v>
      </c>
      <c r="Q81" s="4" t="s">
        <v>270</v>
      </c>
      <c r="R81" s="4"/>
      <c r="S81" s="4"/>
    </row>
    <row r="82" customFormat="false" ht="15" hidden="false" customHeight="false" outlineLevel="0" collapsed="false">
      <c r="A82" s="4" t="s">
        <v>271</v>
      </c>
      <c r="B82" s="4" t="s">
        <v>42</v>
      </c>
      <c r="C82" s="4"/>
      <c r="D82" s="4"/>
      <c r="E82" s="4" t="s">
        <v>75</v>
      </c>
      <c r="F82" s="4" t="n">
        <v>2.5</v>
      </c>
      <c r="G82" s="4" t="n">
        <v>3.053</v>
      </c>
      <c r="H82" s="4" t="n">
        <v>14.953</v>
      </c>
      <c r="I82" s="4" t="n">
        <v>10</v>
      </c>
      <c r="J82" s="4"/>
      <c r="K82" s="6" t="b">
        <f aca="false">TRUE()</f>
        <v>1</v>
      </c>
      <c r="L82" s="6" t="b">
        <f aca="false">TRUE()</f>
        <v>1</v>
      </c>
      <c r="M82" s="6" t="b">
        <f aca="false">FALSE()</f>
        <v>0</v>
      </c>
      <c r="N82" s="6" t="b">
        <f aca="false">FALSE()</f>
        <v>0</v>
      </c>
      <c r="O82" s="4" t="n">
        <v>4</v>
      </c>
      <c r="P82" s="4" t="n">
        <v>-0.822</v>
      </c>
      <c r="Q82" s="4" t="s">
        <v>272</v>
      </c>
      <c r="R82" s="4"/>
      <c r="S82" s="4"/>
    </row>
    <row r="83" customFormat="false" ht="15" hidden="false" customHeight="false" outlineLevel="0" collapsed="false">
      <c r="A83" s="4" t="s">
        <v>273</v>
      </c>
      <c r="B83" s="4" t="s">
        <v>42</v>
      </c>
      <c r="C83" s="4"/>
      <c r="D83" s="4"/>
      <c r="E83" s="4" t="s">
        <v>75</v>
      </c>
      <c r="F83" s="4" t="n">
        <v>2.364</v>
      </c>
      <c r="G83" s="4"/>
      <c r="H83" s="4" t="n">
        <v>28.571</v>
      </c>
      <c r="I83" s="4" t="n">
        <v>12</v>
      </c>
      <c r="J83" s="4"/>
      <c r="K83" s="6" t="b">
        <f aca="false">FALSE()</f>
        <v>0</v>
      </c>
      <c r="L83" s="6" t="b">
        <f aca="false">TRUE()</f>
        <v>1</v>
      </c>
      <c r="M83" s="6" t="b">
        <f aca="false">FALSE()</f>
        <v>0</v>
      </c>
      <c r="N83" s="6" t="b">
        <f aca="false">TRUE()</f>
        <v>1</v>
      </c>
      <c r="O83" s="4" t="n">
        <v>2</v>
      </c>
      <c r="P83" s="4" t="n">
        <v>-0.874</v>
      </c>
      <c r="Q83" s="4" t="s">
        <v>274</v>
      </c>
      <c r="R83" s="4"/>
      <c r="S83" s="4"/>
    </row>
    <row r="84" customFormat="false" ht="15" hidden="false" customHeight="false" outlineLevel="0" collapsed="false">
      <c r="A84" s="4" t="s">
        <v>275</v>
      </c>
      <c r="B84" s="4" t="s">
        <v>42</v>
      </c>
      <c r="C84" s="4"/>
      <c r="D84" s="4"/>
      <c r="E84" s="4" t="s">
        <v>75</v>
      </c>
      <c r="F84" s="4" t="n">
        <v>1.846</v>
      </c>
      <c r="G84" s="4" t="n">
        <v>1</v>
      </c>
      <c r="H84" s="4" t="n">
        <v>21.591</v>
      </c>
      <c r="I84" s="4" t="n">
        <v>56</v>
      </c>
      <c r="J84" s="4"/>
      <c r="K84" s="6" t="b">
        <f aca="false">TRUE()</f>
        <v>1</v>
      </c>
      <c r="L84" s="6" t="b">
        <f aca="false">FALSE()</f>
        <v>0</v>
      </c>
      <c r="M84" s="6" t="b">
        <f aca="false">FALSE()</f>
        <v>0</v>
      </c>
      <c r="N84" s="6" t="b">
        <f aca="false">FALSE()</f>
        <v>0</v>
      </c>
      <c r="O84" s="4" t="n">
        <v>4</v>
      </c>
      <c r="P84" s="4" t="n">
        <v>-0.95</v>
      </c>
      <c r="Q84" s="4" t="s">
        <v>276</v>
      </c>
      <c r="R84" s="4"/>
      <c r="S84" s="4"/>
    </row>
    <row r="85" customFormat="false" ht="15" hidden="false" customHeight="false" outlineLevel="0" collapsed="false">
      <c r="A85" s="4" t="s">
        <v>277</v>
      </c>
      <c r="B85" s="4" t="s">
        <v>42</v>
      </c>
      <c r="C85" s="4"/>
      <c r="D85" s="4"/>
      <c r="E85" s="4" t="s">
        <v>75</v>
      </c>
      <c r="F85" s="4" t="n">
        <v>2.636</v>
      </c>
      <c r="G85" s="4" t="n">
        <v>-0.231</v>
      </c>
      <c r="H85" s="4" t="n">
        <v>22.124</v>
      </c>
      <c r="I85" s="4" t="n">
        <v>1</v>
      </c>
      <c r="J85" s="4"/>
      <c r="K85" s="6" t="b">
        <f aca="false">TRUE()</f>
        <v>1</v>
      </c>
      <c r="L85" s="6" t="b">
        <f aca="false">TRUE()</f>
        <v>1</v>
      </c>
      <c r="M85" s="6" t="b">
        <f aca="false">FALSE()</f>
        <v>0</v>
      </c>
      <c r="N85" s="6" t="b">
        <f aca="false">FALSE()</f>
        <v>0</v>
      </c>
      <c r="O85" s="4" t="n">
        <v>4</v>
      </c>
      <c r="P85" s="4" t="n">
        <v>-1.072</v>
      </c>
      <c r="Q85" s="4" t="s">
        <v>278</v>
      </c>
      <c r="R85" s="4"/>
      <c r="S85" s="4"/>
    </row>
    <row r="86" customFormat="false" ht="15" hidden="false" customHeight="false" outlineLevel="0" collapsed="false">
      <c r="A86" s="4" t="s">
        <v>279</v>
      </c>
      <c r="B86" s="4" t="s">
        <v>42</v>
      </c>
      <c r="C86" s="4"/>
      <c r="D86" s="4"/>
      <c r="E86" s="4"/>
      <c r="F86" s="4" t="n">
        <v>2.636</v>
      </c>
      <c r="G86" s="4" t="n">
        <v>1</v>
      </c>
      <c r="H86" s="4" t="n">
        <v>25</v>
      </c>
      <c r="I86" s="4" t="n">
        <v>4</v>
      </c>
      <c r="J86" s="4"/>
      <c r="K86" s="6" t="b">
        <f aca="false">TRUE()</f>
        <v>1</v>
      </c>
      <c r="L86" s="6" t="b">
        <f aca="false">FALSE()</f>
        <v>0</v>
      </c>
      <c r="M86" s="6" t="b">
        <f aca="false">FALSE()</f>
        <v>0</v>
      </c>
      <c r="N86" s="6" t="b">
        <f aca="false">FALSE()</f>
        <v>0</v>
      </c>
      <c r="O86" s="4" t="n">
        <v>4</v>
      </c>
      <c r="P86" s="4"/>
      <c r="Q86" s="4" t="s">
        <v>280</v>
      </c>
      <c r="R86" s="4"/>
      <c r="S86" s="4"/>
    </row>
    <row r="87" customFormat="false" ht="15" hidden="false" customHeight="false" outlineLevel="0" collapsed="false">
      <c r="A87" s="4" t="s">
        <v>281</v>
      </c>
      <c r="B87" s="4" t="s">
        <v>42</v>
      </c>
      <c r="C87" s="4"/>
      <c r="D87" s="4"/>
      <c r="E87" s="4"/>
      <c r="F87" s="4" t="n">
        <v>2.7</v>
      </c>
      <c r="G87" s="4" t="n">
        <v>1.273</v>
      </c>
      <c r="H87" s="4" t="n">
        <v>24.468</v>
      </c>
      <c r="I87" s="4" t="n">
        <v>2</v>
      </c>
      <c r="J87" s="4"/>
      <c r="K87" s="6" t="b">
        <f aca="false">TRUE()</f>
        <v>1</v>
      </c>
      <c r="L87" s="6" t="b">
        <f aca="false">TRUE()</f>
        <v>1</v>
      </c>
      <c r="M87" s="6" t="b">
        <f aca="false">FALSE()</f>
        <v>0</v>
      </c>
      <c r="N87" s="6" t="b">
        <f aca="false">FALSE()</f>
        <v>0</v>
      </c>
      <c r="O87" s="4" t="n">
        <v>4</v>
      </c>
      <c r="P87" s="4"/>
      <c r="Q87" s="4" t="s">
        <v>282</v>
      </c>
      <c r="R87" s="4"/>
      <c r="S87" s="4"/>
    </row>
    <row r="88" customFormat="false" ht="15" hidden="false" customHeight="false" outlineLevel="0" collapsed="false">
      <c r="A88" s="4" t="s">
        <v>283</v>
      </c>
      <c r="B88" s="4" t="s">
        <v>32</v>
      </c>
      <c r="C88" s="5" t="s">
        <v>284</v>
      </c>
      <c r="D88" s="5" t="s">
        <v>285</v>
      </c>
      <c r="E88" s="4"/>
      <c r="F88" s="4" t="n">
        <v>4.091</v>
      </c>
      <c r="G88" s="4"/>
      <c r="H88" s="4" t="n">
        <v>13.043</v>
      </c>
      <c r="I88" s="4" t="n">
        <v>4402</v>
      </c>
      <c r="J88" s="4" t="n">
        <v>0.348</v>
      </c>
      <c r="K88" s="6" t="b">
        <f aca="false">FALSE()</f>
        <v>0</v>
      </c>
      <c r="L88" s="6" t="b">
        <f aca="false">TRUE()</f>
        <v>1</v>
      </c>
      <c r="M88" s="6" t="b">
        <f aca="false">TRUE()</f>
        <v>1</v>
      </c>
      <c r="N88" s="6" t="b">
        <f aca="false">FALSE()</f>
        <v>0</v>
      </c>
      <c r="O88" s="4" t="n">
        <v>3</v>
      </c>
      <c r="P88" s="4"/>
      <c r="Q88" s="4" t="s">
        <v>286</v>
      </c>
      <c r="R88" s="4"/>
      <c r="S8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38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60"/>
  </cols>
  <sheetData>
    <row r="1" customFormat="false" ht="15" hidden="false" customHeight="false" outlineLevel="0" collapsed="false">
      <c r="A1" s="3" t="s">
        <v>287</v>
      </c>
      <c r="B1" s="3" t="s">
        <v>288</v>
      </c>
      <c r="C1" s="3" t="s">
        <v>289</v>
      </c>
      <c r="D1" s="3" t="s">
        <v>290</v>
      </c>
      <c r="E1" s="3" t="s">
        <v>291</v>
      </c>
      <c r="F1" s="3" t="s">
        <v>292</v>
      </c>
      <c r="G1" s="3" t="s">
        <v>293</v>
      </c>
      <c r="H1" s="3" t="s">
        <v>294</v>
      </c>
      <c r="I1" s="3" t="s">
        <v>29</v>
      </c>
      <c r="J1" s="3" t="s">
        <v>295</v>
      </c>
      <c r="K1" s="3" t="s">
        <v>30</v>
      </c>
    </row>
    <row r="2" customFormat="false" ht="15" hidden="false" customHeight="false" outlineLevel="0" collapsed="false">
      <c r="A2" s="4" t="s">
        <v>296</v>
      </c>
      <c r="B2" s="4" t="s">
        <v>43</v>
      </c>
      <c r="C2" s="4" t="s">
        <v>52</v>
      </c>
      <c r="D2" s="4" t="s">
        <v>176</v>
      </c>
      <c r="E2" s="6" t="b">
        <f aca="false">FALSE()</f>
        <v>0</v>
      </c>
      <c r="F2" s="4" t="s">
        <v>297</v>
      </c>
      <c r="G2" s="4" t="s">
        <v>298</v>
      </c>
      <c r="H2" s="4" t="n">
        <v>2</v>
      </c>
      <c r="I2" s="4"/>
      <c r="J2" s="4"/>
      <c r="K2" s="4" t="s">
        <v>299</v>
      </c>
    </row>
    <row r="3" customFormat="false" ht="15" hidden="false" customHeight="false" outlineLevel="0" collapsed="false">
      <c r="A3" s="4" t="s">
        <v>300</v>
      </c>
      <c r="B3" s="4" t="s">
        <v>43</v>
      </c>
      <c r="C3" s="4" t="s">
        <v>172</v>
      </c>
      <c r="D3" s="4" t="s">
        <v>301</v>
      </c>
      <c r="E3" s="6" t="b">
        <f aca="false">TRUE()</f>
        <v>1</v>
      </c>
      <c r="F3" s="4" t="s">
        <v>302</v>
      </c>
      <c r="G3" s="4" t="s">
        <v>303</v>
      </c>
      <c r="H3" s="4" t="n">
        <v>1</v>
      </c>
      <c r="I3" s="4"/>
      <c r="J3" s="4" t="s">
        <v>304</v>
      </c>
      <c r="K3" s="4" t="s">
        <v>305</v>
      </c>
    </row>
    <row r="4" customFormat="false" ht="15" hidden="false" customHeight="false" outlineLevel="0" collapsed="false">
      <c r="A4" s="4" t="s">
        <v>306</v>
      </c>
      <c r="B4" s="4" t="s">
        <v>43</v>
      </c>
      <c r="C4" s="4" t="s">
        <v>210</v>
      </c>
      <c r="D4" s="4" t="s">
        <v>307</v>
      </c>
      <c r="E4" s="6" t="b">
        <f aca="false">TRUE()</f>
        <v>1</v>
      </c>
      <c r="F4" s="4" t="s">
        <v>308</v>
      </c>
      <c r="G4" s="4" t="s">
        <v>298</v>
      </c>
      <c r="H4" s="4" t="n">
        <v>1</v>
      </c>
      <c r="I4" s="4"/>
      <c r="J4" s="4" t="s">
        <v>304</v>
      </c>
      <c r="K4" s="4" t="s">
        <v>309</v>
      </c>
    </row>
    <row r="5" customFormat="false" ht="15" hidden="false" customHeight="false" outlineLevel="0" collapsed="false">
      <c r="A5" s="4" t="s">
        <v>310</v>
      </c>
      <c r="B5" s="4" t="s">
        <v>43</v>
      </c>
      <c r="C5" s="4" t="s">
        <v>222</v>
      </c>
      <c r="D5" s="4" t="s">
        <v>146</v>
      </c>
      <c r="E5" s="6" t="b">
        <f aca="false">FALSE()</f>
        <v>0</v>
      </c>
      <c r="F5" s="4" t="s">
        <v>311</v>
      </c>
      <c r="G5" s="4" t="s">
        <v>312</v>
      </c>
      <c r="H5" s="4" t="n">
        <v>2</v>
      </c>
      <c r="I5" s="4"/>
      <c r="J5" s="4"/>
      <c r="K5" s="4" t="s">
        <v>313</v>
      </c>
    </row>
    <row r="6" customFormat="false" ht="15" hidden="false" customHeight="false" outlineLevel="0" collapsed="false">
      <c r="A6" s="4" t="s">
        <v>314</v>
      </c>
      <c r="B6" s="4" t="s">
        <v>43</v>
      </c>
      <c r="C6" s="4" t="s">
        <v>126</v>
      </c>
      <c r="D6" s="4" t="s">
        <v>220</v>
      </c>
      <c r="E6" s="6" t="b">
        <f aca="false">FALSE()</f>
        <v>0</v>
      </c>
      <c r="F6" s="4" t="s">
        <v>315</v>
      </c>
      <c r="G6" s="4" t="s">
        <v>312</v>
      </c>
      <c r="H6" s="4" t="n">
        <v>2</v>
      </c>
      <c r="I6" s="4"/>
      <c r="J6" s="4"/>
      <c r="K6" s="4" t="s">
        <v>316</v>
      </c>
    </row>
    <row r="7" customFormat="false" ht="15" hidden="false" customHeight="false" outlineLevel="0" collapsed="false">
      <c r="A7" s="4" t="s">
        <v>317</v>
      </c>
      <c r="B7" s="4" t="s">
        <v>43</v>
      </c>
      <c r="C7" s="4" t="s">
        <v>132</v>
      </c>
      <c r="D7" s="4" t="s">
        <v>174</v>
      </c>
      <c r="E7" s="6" t="b">
        <f aca="false">FALSE()</f>
        <v>0</v>
      </c>
      <c r="F7" s="4" t="s">
        <v>318</v>
      </c>
      <c r="G7" s="4" t="s">
        <v>312</v>
      </c>
      <c r="H7" s="4" t="n">
        <v>2</v>
      </c>
      <c r="I7" s="4"/>
      <c r="J7" s="4"/>
      <c r="K7" s="4" t="s">
        <v>319</v>
      </c>
    </row>
    <row r="8" customFormat="false" ht="15" hidden="false" customHeight="false" outlineLevel="0" collapsed="false">
      <c r="A8" s="4" t="s">
        <v>320</v>
      </c>
      <c r="B8" s="4" t="s">
        <v>35</v>
      </c>
      <c r="C8" s="4" t="s">
        <v>66</v>
      </c>
      <c r="D8" s="4" t="s">
        <v>104</v>
      </c>
      <c r="E8" s="6" t="b">
        <f aca="false">FALSE()</f>
        <v>0</v>
      </c>
      <c r="F8" s="4" t="s">
        <v>321</v>
      </c>
      <c r="G8" s="4" t="s">
        <v>298</v>
      </c>
      <c r="H8" s="4" t="n">
        <v>2</v>
      </c>
      <c r="I8" s="4"/>
      <c r="J8" s="4"/>
      <c r="K8" s="4" t="s">
        <v>322</v>
      </c>
    </row>
    <row r="9" customFormat="false" ht="15" hidden="false" customHeight="false" outlineLevel="0" collapsed="false">
      <c r="A9" s="4" t="s">
        <v>323</v>
      </c>
      <c r="B9" s="4" t="s">
        <v>35</v>
      </c>
      <c r="C9" s="4" t="s">
        <v>56</v>
      </c>
      <c r="D9" s="4" t="s">
        <v>324</v>
      </c>
      <c r="E9" s="6" t="b">
        <f aca="false">TRUE()</f>
        <v>1</v>
      </c>
      <c r="F9" s="4" t="s">
        <v>325</v>
      </c>
      <c r="G9" s="4" t="s">
        <v>298</v>
      </c>
      <c r="H9" s="4" t="n">
        <v>1</v>
      </c>
      <c r="I9" s="4"/>
      <c r="J9" s="4" t="s">
        <v>304</v>
      </c>
      <c r="K9" s="4" t="s">
        <v>326</v>
      </c>
    </row>
    <row r="10" customFormat="false" ht="15" hidden="false" customHeight="false" outlineLevel="0" collapsed="false">
      <c r="A10" s="4" t="s">
        <v>327</v>
      </c>
      <c r="B10" s="4" t="s">
        <v>35</v>
      </c>
      <c r="C10" s="4" t="s">
        <v>31</v>
      </c>
      <c r="D10" s="4" t="s">
        <v>328</v>
      </c>
      <c r="E10" s="6" t="b">
        <f aca="false">TRUE()</f>
        <v>1</v>
      </c>
      <c r="F10" s="4" t="s">
        <v>329</v>
      </c>
      <c r="G10" s="4" t="s">
        <v>312</v>
      </c>
      <c r="H10" s="4" t="n">
        <v>1</v>
      </c>
      <c r="I10" s="4"/>
      <c r="J10" s="4" t="s">
        <v>304</v>
      </c>
      <c r="K10" s="4" t="s">
        <v>330</v>
      </c>
    </row>
    <row r="11" customFormat="false" ht="15" hidden="false" customHeight="false" outlineLevel="0" collapsed="false">
      <c r="A11" s="4" t="s">
        <v>331</v>
      </c>
      <c r="B11" s="4" t="s">
        <v>35</v>
      </c>
      <c r="C11" s="4" t="s">
        <v>98</v>
      </c>
      <c r="D11" s="4" t="s">
        <v>162</v>
      </c>
      <c r="E11" s="6" t="b">
        <f aca="false">FALSE()</f>
        <v>0</v>
      </c>
      <c r="F11" s="4" t="s">
        <v>332</v>
      </c>
      <c r="G11" s="4" t="s">
        <v>312</v>
      </c>
      <c r="H11" s="4" t="n">
        <v>2</v>
      </c>
      <c r="I11" s="4"/>
      <c r="J11" s="4"/>
      <c r="K11" s="4" t="s">
        <v>333</v>
      </c>
    </row>
    <row r="12" customFormat="false" ht="15" hidden="false" customHeight="false" outlineLevel="0" collapsed="false">
      <c r="A12" s="4" t="s">
        <v>334</v>
      </c>
      <c r="B12" s="4" t="s">
        <v>35</v>
      </c>
      <c r="C12" s="4" t="s">
        <v>102</v>
      </c>
      <c r="D12" s="4" t="s">
        <v>108</v>
      </c>
      <c r="E12" s="6" t="b">
        <f aca="false">FALSE()</f>
        <v>0</v>
      </c>
      <c r="F12" s="4" t="s">
        <v>335</v>
      </c>
      <c r="G12" s="4" t="s">
        <v>298</v>
      </c>
      <c r="H12" s="4" t="n">
        <v>2</v>
      </c>
      <c r="I12" s="4"/>
      <c r="J12" s="4"/>
      <c r="K12" s="4" t="s">
        <v>336</v>
      </c>
    </row>
    <row r="13" customFormat="false" ht="15" hidden="false" customHeight="false" outlineLevel="0" collapsed="false">
      <c r="A13" s="4" t="s">
        <v>337</v>
      </c>
      <c r="B13" s="4" t="s">
        <v>35</v>
      </c>
      <c r="C13" s="4" t="s">
        <v>50</v>
      </c>
      <c r="D13" s="4" t="s">
        <v>194</v>
      </c>
      <c r="E13" s="6" t="b">
        <f aca="false">FALSE()</f>
        <v>0</v>
      </c>
      <c r="F13" s="4" t="s">
        <v>338</v>
      </c>
      <c r="G13" s="4" t="s">
        <v>312</v>
      </c>
      <c r="H13" s="4" t="n">
        <v>2</v>
      </c>
      <c r="I13" s="4"/>
      <c r="J13" s="4"/>
      <c r="K13" s="4" t="s">
        <v>339</v>
      </c>
    </row>
    <row r="14" customFormat="false" ht="15" hidden="false" customHeight="false" outlineLevel="0" collapsed="false">
      <c r="A14" s="4" t="s">
        <v>340</v>
      </c>
      <c r="B14" s="4" t="s">
        <v>75</v>
      </c>
      <c r="C14" s="4" t="s">
        <v>134</v>
      </c>
      <c r="D14" s="4" t="s">
        <v>341</v>
      </c>
      <c r="E14" s="6" t="b">
        <f aca="false">TRUE()</f>
        <v>1</v>
      </c>
      <c r="F14" s="4" t="s">
        <v>342</v>
      </c>
      <c r="G14" s="4" t="s">
        <v>298</v>
      </c>
      <c r="H14" s="4" t="n">
        <v>1</v>
      </c>
      <c r="I14" s="4"/>
      <c r="J14" s="4" t="s">
        <v>304</v>
      </c>
      <c r="K14" s="4" t="s">
        <v>343</v>
      </c>
    </row>
    <row r="15" customFormat="false" ht="15" hidden="false" customHeight="false" outlineLevel="0" collapsed="false">
      <c r="A15" s="4" t="s">
        <v>344</v>
      </c>
      <c r="B15" s="4" t="s">
        <v>75</v>
      </c>
      <c r="C15" s="4" t="s">
        <v>186</v>
      </c>
      <c r="D15" s="4" t="s">
        <v>345</v>
      </c>
      <c r="E15" s="6" t="b">
        <f aca="false">TRUE()</f>
        <v>1</v>
      </c>
      <c r="F15" s="4" t="s">
        <v>346</v>
      </c>
      <c r="G15" s="4" t="s">
        <v>298</v>
      </c>
      <c r="H15" s="4" t="n">
        <v>1</v>
      </c>
      <c r="I15" s="4"/>
      <c r="J15" s="4" t="s">
        <v>304</v>
      </c>
      <c r="K15" s="4" t="s">
        <v>347</v>
      </c>
    </row>
    <row r="16" customFormat="false" ht="15" hidden="false" customHeight="false" outlineLevel="0" collapsed="false">
      <c r="A16" s="4" t="s">
        <v>348</v>
      </c>
      <c r="B16" s="4" t="s">
        <v>75</v>
      </c>
      <c r="C16" s="4" t="s">
        <v>142</v>
      </c>
      <c r="D16" s="4" t="s">
        <v>214</v>
      </c>
      <c r="E16" s="6" t="b">
        <f aca="false">FALSE()</f>
        <v>0</v>
      </c>
      <c r="F16" s="4" t="s">
        <v>349</v>
      </c>
      <c r="G16" s="4" t="s">
        <v>312</v>
      </c>
      <c r="H16" s="4" t="n">
        <v>2</v>
      </c>
      <c r="I16" s="4"/>
      <c r="J16" s="4"/>
      <c r="K16" s="4" t="s">
        <v>350</v>
      </c>
    </row>
    <row r="17" customFormat="false" ht="15" hidden="false" customHeight="false" outlineLevel="0" collapsed="false">
      <c r="A17" s="4" t="s">
        <v>351</v>
      </c>
      <c r="B17" s="4" t="s">
        <v>75</v>
      </c>
      <c r="C17" s="4" t="s">
        <v>72</v>
      </c>
      <c r="D17" s="4" t="s">
        <v>148</v>
      </c>
      <c r="E17" s="6" t="b">
        <f aca="false">FALSE()</f>
        <v>0</v>
      </c>
      <c r="F17" s="4" t="s">
        <v>352</v>
      </c>
      <c r="G17" s="4" t="s">
        <v>312</v>
      </c>
      <c r="H17" s="4" t="n">
        <v>2</v>
      </c>
      <c r="I17" s="4"/>
      <c r="J17" s="4"/>
      <c r="K17" s="4" t="s">
        <v>353</v>
      </c>
    </row>
    <row r="18" customFormat="false" ht="15" hidden="false" customHeight="false" outlineLevel="0" collapsed="false">
      <c r="A18" s="4" t="s">
        <v>354</v>
      </c>
      <c r="B18" s="4" t="s">
        <v>75</v>
      </c>
      <c r="C18" s="4" t="s">
        <v>196</v>
      </c>
      <c r="D18" s="4" t="s">
        <v>355</v>
      </c>
      <c r="E18" s="6" t="b">
        <f aca="false">TRUE()</f>
        <v>1</v>
      </c>
      <c r="F18" s="4" t="s">
        <v>356</v>
      </c>
      <c r="G18" s="4" t="s">
        <v>312</v>
      </c>
      <c r="H18" s="4" t="n">
        <v>1</v>
      </c>
      <c r="I18" s="4"/>
      <c r="J18" s="4" t="s">
        <v>304</v>
      </c>
      <c r="K18" s="4" t="s">
        <v>357</v>
      </c>
    </row>
    <row r="19" customFormat="false" ht="15" hidden="false" customHeight="false" outlineLevel="0" collapsed="false">
      <c r="A19" s="4" t="s">
        <v>358</v>
      </c>
      <c r="B19" s="4" t="s">
        <v>48</v>
      </c>
      <c r="C19" s="4" t="s">
        <v>112</v>
      </c>
      <c r="D19" s="4" t="s">
        <v>60</v>
      </c>
      <c r="E19" s="6" t="b">
        <f aca="false">FALSE()</f>
        <v>0</v>
      </c>
      <c r="F19" s="4" t="s">
        <v>359</v>
      </c>
      <c r="G19" s="4" t="s">
        <v>312</v>
      </c>
      <c r="H19" s="4" t="n">
        <v>2</v>
      </c>
      <c r="I19" s="4"/>
      <c r="J19" s="4"/>
      <c r="K19" s="4" t="s">
        <v>360</v>
      </c>
    </row>
    <row r="20" customFormat="false" ht="15" hidden="false" customHeight="false" outlineLevel="0" collapsed="false">
      <c r="A20" s="4" t="s">
        <v>361</v>
      </c>
      <c r="B20" s="4" t="s">
        <v>48</v>
      </c>
      <c r="C20" s="4" t="s">
        <v>94</v>
      </c>
      <c r="D20" s="4" t="s">
        <v>362</v>
      </c>
      <c r="E20" s="6" t="b">
        <f aca="false">TRUE()</f>
        <v>1</v>
      </c>
      <c r="F20" s="4" t="s">
        <v>363</v>
      </c>
      <c r="G20" s="4" t="s">
        <v>298</v>
      </c>
      <c r="H20" s="4" t="n">
        <v>1</v>
      </c>
      <c r="I20" s="4"/>
      <c r="J20" s="4" t="s">
        <v>304</v>
      </c>
      <c r="K20" s="4" t="s">
        <v>364</v>
      </c>
    </row>
    <row r="21" customFormat="false" ht="15" hidden="false" customHeight="false" outlineLevel="0" collapsed="false">
      <c r="A21" s="4" t="s">
        <v>365</v>
      </c>
      <c r="B21" s="4" t="s">
        <v>48</v>
      </c>
      <c r="C21" s="4" t="s">
        <v>138</v>
      </c>
      <c r="D21" s="4" t="s">
        <v>366</v>
      </c>
      <c r="E21" s="6" t="b">
        <f aca="false">TRUE()</f>
        <v>1</v>
      </c>
      <c r="F21" s="4" t="s">
        <v>367</v>
      </c>
      <c r="G21" s="4" t="s">
        <v>312</v>
      </c>
      <c r="H21" s="4" t="n">
        <v>1</v>
      </c>
      <c r="I21" s="4"/>
      <c r="J21" s="4" t="s">
        <v>304</v>
      </c>
      <c r="K21" s="4" t="s">
        <v>368</v>
      </c>
    </row>
    <row r="22" customFormat="false" ht="15" hidden="false" customHeight="false" outlineLevel="0" collapsed="false">
      <c r="A22" s="4" t="s">
        <v>369</v>
      </c>
      <c r="B22" s="4" t="s">
        <v>48</v>
      </c>
      <c r="C22" s="4" t="s">
        <v>122</v>
      </c>
      <c r="D22" s="4" t="s">
        <v>238</v>
      </c>
      <c r="E22" s="6" t="b">
        <f aca="false">FALSE()</f>
        <v>0</v>
      </c>
      <c r="F22" s="4" t="s">
        <v>370</v>
      </c>
      <c r="G22" s="4" t="s">
        <v>312</v>
      </c>
      <c r="H22" s="4" t="n">
        <v>2</v>
      </c>
      <c r="I22" s="4"/>
      <c r="J22" s="4"/>
      <c r="K22" s="4" t="s">
        <v>371</v>
      </c>
    </row>
    <row r="23" customFormat="false" ht="15" hidden="false" customHeight="false" outlineLevel="0" collapsed="false">
      <c r="A23" s="4" t="s">
        <v>372</v>
      </c>
      <c r="B23" s="4" t="s">
        <v>48</v>
      </c>
      <c r="C23" s="4" t="s">
        <v>158</v>
      </c>
      <c r="D23" s="4" t="s">
        <v>373</v>
      </c>
      <c r="E23" s="6" t="b">
        <f aca="false">TRUE()</f>
        <v>1</v>
      </c>
      <c r="F23" s="4" t="s">
        <v>374</v>
      </c>
      <c r="G23" s="4" t="s">
        <v>298</v>
      </c>
      <c r="H23" s="4" t="n">
        <v>1</v>
      </c>
      <c r="I23" s="4"/>
      <c r="J23" s="4" t="s">
        <v>304</v>
      </c>
      <c r="K23" s="4" t="s">
        <v>375</v>
      </c>
    </row>
    <row r="24" customFormat="false" ht="15" hidden="false" customHeight="false" outlineLevel="0" collapsed="false">
      <c r="A24" s="4" t="s">
        <v>376</v>
      </c>
      <c r="B24" s="4" t="s">
        <v>48</v>
      </c>
      <c r="C24" s="4" t="s">
        <v>85</v>
      </c>
      <c r="D24" s="4" t="s">
        <v>218</v>
      </c>
      <c r="E24" s="6" t="b">
        <f aca="false">FALSE()</f>
        <v>0</v>
      </c>
      <c r="F24" s="4" t="s">
        <v>377</v>
      </c>
      <c r="G24" s="4" t="s">
        <v>298</v>
      </c>
      <c r="H24" s="4" t="n">
        <v>2</v>
      </c>
      <c r="I24" s="4"/>
      <c r="J24" s="4"/>
      <c r="K24" s="4" t="s">
        <v>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3" t="s">
        <v>12</v>
      </c>
      <c r="B1" s="3" t="s">
        <v>20</v>
      </c>
      <c r="C1" s="3" t="s">
        <v>28</v>
      </c>
      <c r="D1" s="3" t="s">
        <v>379</v>
      </c>
    </row>
    <row r="2" customFormat="false" ht="15" hidden="false" customHeight="false" outlineLevel="0" collapsed="false">
      <c r="A2" s="4" t="s">
        <v>160</v>
      </c>
      <c r="B2" s="4" t="n">
        <v>9870</v>
      </c>
      <c r="C2" s="4" t="s">
        <v>161</v>
      </c>
      <c r="D2" s="4" t="s">
        <v>380</v>
      </c>
    </row>
    <row r="3" customFormat="false" ht="15" hidden="false" customHeight="false" outlineLevel="0" collapsed="false">
      <c r="A3" s="4" t="s">
        <v>120</v>
      </c>
      <c r="B3" s="4" t="n">
        <v>8725</v>
      </c>
      <c r="C3" s="4" t="s">
        <v>121</v>
      </c>
      <c r="D3" s="4" t="s">
        <v>380</v>
      </c>
    </row>
    <row r="4" customFormat="false" ht="15" hidden="false" customHeight="false" outlineLevel="0" collapsed="false">
      <c r="A4" s="4" t="s">
        <v>64</v>
      </c>
      <c r="B4" s="4" t="n">
        <v>7921</v>
      </c>
      <c r="C4" s="4" t="s">
        <v>65</v>
      </c>
      <c r="D4" s="4" t="s">
        <v>380</v>
      </c>
    </row>
    <row r="5" customFormat="false" ht="15" hidden="false" customHeight="false" outlineLevel="0" collapsed="false">
      <c r="A5" s="4" t="s">
        <v>236</v>
      </c>
      <c r="B5" s="4" t="n">
        <v>1872</v>
      </c>
      <c r="C5" s="4" t="s">
        <v>237</v>
      </c>
      <c r="D5" s="4" t="s">
        <v>380</v>
      </c>
    </row>
    <row r="6" customFormat="false" ht="15" hidden="false" customHeight="false" outlineLevel="0" collapsed="false">
      <c r="A6" s="4" t="s">
        <v>283</v>
      </c>
      <c r="B6" s="4" t="n">
        <v>4402</v>
      </c>
      <c r="C6" s="4" t="s">
        <v>286</v>
      </c>
      <c r="D6" s="4" t="s">
        <v>380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2026-07-01T21:47:09Z</dcterms:created>
  <dc:creator>openpyxl</dc:creator>
  <dc:description/>
  <dc:language>en-US</dc:language>
  <cp:lastModifiedBy/>
  <dcterms:modified xsi:type="dcterms:W3CDTF">2026-07-01T21:47:09Z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